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er/GIT/BIO3018F/prac/2025/"/>
    </mc:Choice>
  </mc:AlternateContent>
  <xr:revisionPtr revIDLastSave="0" documentId="13_ncr:1_{B5581D57-2F64-E54F-8841-E3C62F8B079E}" xr6:coauthVersionLast="47" xr6:coauthVersionMax="47" xr10:uidLastSave="{00000000-0000-0000-0000-000000000000}"/>
  <bookViews>
    <workbookView xWindow="0" yWindow="500" windowWidth="19420" windowHeight="10560" activeTab="1" xr2:uid="{8533E4D5-6462-294A-885A-9A5B3288A94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13" i="2" l="1"/>
  <c r="DU6" i="2"/>
  <c r="DU7" i="2"/>
  <c r="DU8" i="2"/>
  <c r="DU9" i="2"/>
  <c r="DU10" i="2"/>
  <c r="DU11" i="2"/>
  <c r="DU12" i="2"/>
  <c r="DU4" i="2"/>
  <c r="DS14" i="2"/>
  <c r="DR14" i="2"/>
  <c r="DQ14" i="2"/>
  <c r="DZ14" i="2" s="1"/>
  <c r="DP14" i="2"/>
  <c r="DY14" i="2" s="1"/>
  <c r="DN14" i="2"/>
  <c r="DM14" i="2"/>
  <c r="DR13" i="2"/>
  <c r="DQ13" i="2"/>
  <c r="DP13" i="2"/>
  <c r="DO13" i="2"/>
  <c r="DX13" i="2" s="1"/>
  <c r="DN13" i="2"/>
  <c r="DW13" i="2" s="1"/>
  <c r="DM13" i="2"/>
  <c r="DV13" i="2" s="1"/>
  <c r="DM12" i="2"/>
  <c r="DM11" i="2"/>
  <c r="D15" i="2"/>
  <c r="E15" i="2"/>
  <c r="G15" i="2"/>
  <c r="H15" i="2"/>
  <c r="I15" i="2"/>
  <c r="J15" i="2"/>
  <c r="K15" i="2"/>
  <c r="L15" i="2"/>
  <c r="M15" i="2"/>
  <c r="N15" i="2"/>
  <c r="O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T15" i="2"/>
  <c r="C15" i="2"/>
  <c r="B15" i="2"/>
  <c r="Q14" i="2"/>
  <c r="DO14" i="2" s="1"/>
  <c r="Q6" i="2"/>
  <c r="Q15" i="2" s="1"/>
  <c r="Q11" i="2"/>
  <c r="DF14" i="2"/>
  <c r="DL13" i="2"/>
  <c r="DP5" i="2"/>
  <c r="DL4" i="2"/>
  <c r="EC4" i="2" s="1"/>
  <c r="DL7" i="2"/>
  <c r="EC7" i="2" s="1"/>
  <c r="DL8" i="2"/>
  <c r="EC8" i="2" s="1"/>
  <c r="DL9" i="2"/>
  <c r="EC9" i="2" s="1"/>
  <c r="DL10" i="2"/>
  <c r="EC10" i="2" s="1"/>
  <c r="DL12" i="2"/>
  <c r="EC12" i="2" s="1"/>
  <c r="DP12" i="2"/>
  <c r="DS12" i="2"/>
  <c r="DR12" i="2"/>
  <c r="DQ12" i="2"/>
  <c r="DN12" i="2"/>
  <c r="DO12" i="2"/>
  <c r="DS11" i="2"/>
  <c r="DR11" i="2"/>
  <c r="DQ11" i="2"/>
  <c r="DP11" i="2"/>
  <c r="DN11" i="2"/>
  <c r="DS10" i="2"/>
  <c r="DR10" i="2"/>
  <c r="DQ10" i="2"/>
  <c r="DP10" i="2"/>
  <c r="DO10" i="2"/>
  <c r="DN10" i="2"/>
  <c r="DM10" i="2"/>
  <c r="DS9" i="2"/>
  <c r="DR9" i="2"/>
  <c r="DQ9" i="2"/>
  <c r="DP9" i="2"/>
  <c r="DO9" i="2"/>
  <c r="DN9" i="2"/>
  <c r="DS8" i="2"/>
  <c r="DR8" i="2"/>
  <c r="DQ8" i="2"/>
  <c r="DP8" i="2"/>
  <c r="DO8" i="2"/>
  <c r="DN8" i="2"/>
  <c r="DM8" i="2"/>
  <c r="DS7" i="2"/>
  <c r="DR7" i="2"/>
  <c r="DQ7" i="2"/>
  <c r="DP7" i="2"/>
  <c r="DO7" i="2"/>
  <c r="DN7" i="2"/>
  <c r="DM7" i="2"/>
  <c r="DS6" i="2"/>
  <c r="DR6" i="2"/>
  <c r="DQ6" i="2"/>
  <c r="DP6" i="2"/>
  <c r="DN6" i="2"/>
  <c r="DM6" i="2"/>
  <c r="DR5" i="2"/>
  <c r="DS3" i="2"/>
  <c r="DR3" i="2"/>
  <c r="DU3" i="2" s="1"/>
  <c r="DQ5" i="2"/>
  <c r="DM3" i="2"/>
  <c r="DN5" i="2"/>
  <c r="DQ4" i="2"/>
  <c r="DS4" i="2"/>
  <c r="DR4" i="2"/>
  <c r="DP4" i="2"/>
  <c r="DO4" i="2"/>
  <c r="DN4" i="2"/>
  <c r="DM4" i="2"/>
  <c r="DP3" i="2"/>
  <c r="DO3" i="2"/>
  <c r="DN3" i="2"/>
  <c r="DS5" i="2"/>
  <c r="DO5" i="2"/>
  <c r="DU5" i="2" s="1"/>
  <c r="DM9" i="2"/>
  <c r="DL11" i="2"/>
  <c r="EC11" i="2" s="1"/>
  <c r="P6" i="2"/>
  <c r="P15" i="2" s="1"/>
  <c r="R6" i="2"/>
  <c r="R15" i="2" s="1"/>
  <c r="L5" i="2"/>
  <c r="F3" i="2"/>
  <c r="F15" i="2" s="1"/>
  <c r="F5" i="1"/>
  <c r="DZ13" i="2" l="1"/>
  <c r="EA13" i="2"/>
  <c r="ED13" i="2" s="1"/>
  <c r="DU14" i="2"/>
  <c r="DU13" i="2"/>
  <c r="DL14" i="2"/>
  <c r="DV14" i="2"/>
  <c r="DW14" i="2"/>
  <c r="EA14" i="2"/>
  <c r="DS15" i="2"/>
  <c r="DP15" i="2"/>
  <c r="DR15" i="2"/>
  <c r="DN15" i="2"/>
  <c r="DZ7" i="2"/>
  <c r="DZ8" i="2"/>
  <c r="EA10" i="2"/>
  <c r="DV4" i="2"/>
  <c r="DZ10" i="2"/>
  <c r="DY4" i="2"/>
  <c r="DW4" i="2"/>
  <c r="DX4" i="2"/>
  <c r="EA4" i="2"/>
  <c r="EB4" i="2"/>
  <c r="DZ4" i="2"/>
  <c r="DV10" i="2"/>
  <c r="EB10" i="2"/>
  <c r="DV8" i="2"/>
  <c r="DW8" i="2"/>
  <c r="DX8" i="2"/>
  <c r="DY8" i="2"/>
  <c r="EA8" i="2"/>
  <c r="EB8" i="2"/>
  <c r="DY9" i="2"/>
  <c r="DZ9" i="2"/>
  <c r="EA9" i="2"/>
  <c r="DV9" i="2"/>
  <c r="DV7" i="2"/>
  <c r="DW7" i="2"/>
  <c r="DX7" i="2"/>
  <c r="EB11" i="2"/>
  <c r="DV12" i="2"/>
  <c r="DX12" i="2"/>
  <c r="DW11" i="2"/>
  <c r="DZ12" i="2"/>
  <c r="DY7" i="2"/>
  <c r="EB9" i="2"/>
  <c r="DV11" i="2"/>
  <c r="DW12" i="2"/>
  <c r="EA7" i="2"/>
  <c r="DW10" i="2"/>
  <c r="DY11" i="2"/>
  <c r="EA12" i="2"/>
  <c r="EB7" i="2"/>
  <c r="DW9" i="2"/>
  <c r="DX10" i="2"/>
  <c r="DZ11" i="2"/>
  <c r="EB12" i="2"/>
  <c r="DX9" i="2"/>
  <c r="DY10" i="2"/>
  <c r="EA11" i="2"/>
  <c r="DY12" i="2"/>
  <c r="DL6" i="2"/>
  <c r="EC6" i="2" s="1"/>
  <c r="DL5" i="2"/>
  <c r="EC5" i="2" s="1"/>
  <c r="DL3" i="2"/>
  <c r="EC3" i="2" s="1"/>
  <c r="EC15" i="2" s="1"/>
  <c r="DQ3" i="2"/>
  <c r="DQ15" i="2" s="1"/>
  <c r="DO6" i="2"/>
  <c r="DO15" i="2" s="1"/>
  <c r="DO11" i="2"/>
  <c r="DX11" i="2" s="1"/>
  <c r="DM5" i="2"/>
  <c r="DM15" i="2" s="1"/>
  <c r="DU15" i="2" l="1"/>
  <c r="DL15" i="2"/>
  <c r="DX14" i="2"/>
  <c r="ED14" i="2" s="1"/>
  <c r="ED4" i="2"/>
  <c r="ED8" i="2"/>
  <c r="ED11" i="2"/>
  <c r="DW5" i="2"/>
  <c r="ED10" i="2"/>
  <c r="ED7" i="2"/>
  <c r="DZ5" i="2"/>
  <c r="DZ15" i="2" s="1"/>
  <c r="EA6" i="2"/>
  <c r="ED12" i="2"/>
  <c r="DY6" i="2"/>
  <c r="ED9" i="2"/>
  <c r="DX6" i="2"/>
  <c r="DY3" i="2"/>
  <c r="DY15" i="2" s="1"/>
  <c r="DW6" i="2"/>
  <c r="DV6" i="2"/>
  <c r="DX5" i="2"/>
  <c r="EB6" i="2"/>
  <c r="DX3" i="2"/>
  <c r="EA3" i="2"/>
  <c r="EA15" i="2" s="1"/>
  <c r="EA5" i="2"/>
  <c r="DV3" i="2"/>
  <c r="DV15" i="2" s="1"/>
  <c r="DW3" i="2"/>
  <c r="DW15" i="2" s="1"/>
  <c r="EB5" i="2"/>
  <c r="DV5" i="2"/>
  <c r="DZ3" i="2"/>
  <c r="DY5" i="2"/>
  <c r="DZ6" i="2"/>
  <c r="EB3" i="2"/>
  <c r="EB15" i="2" s="1"/>
  <c r="DX15" i="2" l="1"/>
  <c r="ED5" i="2"/>
  <c r="ED6" i="2"/>
  <c r="ED3" i="2"/>
  <c r="ED15" i="2" l="1"/>
</calcChain>
</file>

<file path=xl/sharedStrings.xml><?xml version="1.0" encoding="utf-8"?>
<sst xmlns="http://schemas.openxmlformats.org/spreadsheetml/2006/main" count="330" uniqueCount="174">
  <si>
    <t>Site</t>
  </si>
  <si>
    <t>B</t>
  </si>
  <si>
    <t>C</t>
  </si>
  <si>
    <t>D</t>
  </si>
  <si>
    <t>E</t>
  </si>
  <si>
    <t>F</t>
  </si>
  <si>
    <t xml:space="preserve">Fire age </t>
  </si>
  <si>
    <t>Canopy Density</t>
  </si>
  <si>
    <t xml:space="preserve">Soil Type </t>
  </si>
  <si>
    <t>A1</t>
  </si>
  <si>
    <t>A2</t>
  </si>
  <si>
    <t>Helichrysum rosum</t>
  </si>
  <si>
    <t>Dicerothamnus rhinocerotis</t>
  </si>
  <si>
    <t>Nidorella ivifolia</t>
  </si>
  <si>
    <t>Oedera genistifolia</t>
  </si>
  <si>
    <t>Moss</t>
  </si>
  <si>
    <t>yellow flower</t>
  </si>
  <si>
    <t xml:space="preserve">Long grass 2 </t>
  </si>
  <si>
    <t>Ehrhirta calycina/Long grass 1</t>
  </si>
  <si>
    <t xml:space="preserve">Not grass </t>
  </si>
  <si>
    <t>Searsia glauca</t>
  </si>
  <si>
    <t>Salicornia pillansii</t>
  </si>
  <si>
    <t xml:space="preserve">Pea </t>
  </si>
  <si>
    <t>grass 3</t>
  </si>
  <si>
    <t>Cenchrus clandestinum</t>
  </si>
  <si>
    <t>Thesium spp.</t>
  </si>
  <si>
    <t>Dung level</t>
  </si>
  <si>
    <t>medium</t>
  </si>
  <si>
    <t>high</t>
  </si>
  <si>
    <t>Trees</t>
  </si>
  <si>
    <t>Shrubs</t>
  </si>
  <si>
    <t>Grasses</t>
  </si>
  <si>
    <t xml:space="preserve">Flowering </t>
  </si>
  <si>
    <t>Succulents</t>
  </si>
  <si>
    <t>??</t>
  </si>
  <si>
    <t>G</t>
  </si>
  <si>
    <t>H</t>
  </si>
  <si>
    <t>I</t>
  </si>
  <si>
    <t>none</t>
  </si>
  <si>
    <t>no</t>
  </si>
  <si>
    <t>yes</t>
  </si>
  <si>
    <t>Searsia lucida</t>
  </si>
  <si>
    <t>Adenandra</t>
  </si>
  <si>
    <t xml:space="preserve">Pelargonium </t>
  </si>
  <si>
    <t>Phylica</t>
  </si>
  <si>
    <t>Diasporus</t>
  </si>
  <si>
    <t>Derdenaia viscosa</t>
  </si>
  <si>
    <t>Perdilaria</t>
  </si>
  <si>
    <t>Searsia 1</t>
  </si>
  <si>
    <t>Metalasia</t>
  </si>
  <si>
    <t xml:space="preserve">Anthespermum </t>
  </si>
  <si>
    <t>Protea repens</t>
  </si>
  <si>
    <t>Hypodisus</t>
  </si>
  <si>
    <t>Staberoa multispicula</t>
  </si>
  <si>
    <t>Restio thaminocorus</t>
  </si>
  <si>
    <t xml:space="preserve">Seruria </t>
  </si>
  <si>
    <t>Dilatris pillansii</t>
  </si>
  <si>
    <t>Mimetes cuculatis</t>
  </si>
  <si>
    <t>Berzelia cordifolia</t>
  </si>
  <si>
    <t>Restio 1</t>
  </si>
  <si>
    <t>Erica 1</t>
  </si>
  <si>
    <t>Protea denticulata</t>
  </si>
  <si>
    <t>Anthospermum</t>
  </si>
  <si>
    <t xml:space="preserve">Erica globularis </t>
  </si>
  <si>
    <t>Masterceli digitata</t>
  </si>
  <si>
    <t>Struthiola</t>
  </si>
  <si>
    <t>Elegia</t>
  </si>
  <si>
    <t>Erica hispidula</t>
  </si>
  <si>
    <t xml:space="preserve">Leucospermum truncatulum </t>
  </si>
  <si>
    <t>Leucadendron salignum</t>
  </si>
  <si>
    <t>Staberoa 2</t>
  </si>
  <si>
    <t>Thamnocortus pellucidus</t>
  </si>
  <si>
    <t>Helichrysum 1</t>
  </si>
  <si>
    <t>Athanasia trifurcata</t>
  </si>
  <si>
    <t>Cynodon dactylon</t>
  </si>
  <si>
    <t>Pelargonium 1</t>
  </si>
  <si>
    <t>Crassula</t>
  </si>
  <si>
    <t>Asteraceae</t>
  </si>
  <si>
    <t>Restio 2</t>
  </si>
  <si>
    <t xml:space="preserve">Phylica ericoides </t>
  </si>
  <si>
    <t>Chrysanthemoides</t>
  </si>
  <si>
    <t>Acacia pycnantha</t>
  </si>
  <si>
    <t>Thamnocortus 2</t>
  </si>
  <si>
    <t>Cuscuta</t>
  </si>
  <si>
    <t>Tetraria microstachys</t>
  </si>
  <si>
    <t>Eucalyptus camaldulensis</t>
  </si>
  <si>
    <t>Eucalyptus cinerea</t>
  </si>
  <si>
    <t>Leucospermum 2</t>
  </si>
  <si>
    <t>Phylica 2</t>
  </si>
  <si>
    <t>Berzelia 2</t>
  </si>
  <si>
    <t>Clifortia 2</t>
  </si>
  <si>
    <t>moss</t>
  </si>
  <si>
    <t>small shrub</t>
  </si>
  <si>
    <t>graminoid</t>
  </si>
  <si>
    <t>tree</t>
  </si>
  <si>
    <t>large shrub</t>
  </si>
  <si>
    <t>succulent</t>
  </si>
  <si>
    <t>fern</t>
  </si>
  <si>
    <t>Pteridium aquilli</t>
  </si>
  <si>
    <t>Pennae mucronata</t>
  </si>
  <si>
    <t>vine</t>
  </si>
  <si>
    <t>Lobostemon</t>
  </si>
  <si>
    <t>Total</t>
  </si>
  <si>
    <t>Type</t>
  </si>
  <si>
    <t>prop small shrub</t>
  </si>
  <si>
    <t>prop large shrub</t>
  </si>
  <si>
    <t>prop graminoid</t>
  </si>
  <si>
    <t>prop tree</t>
  </si>
  <si>
    <t>prop moss</t>
  </si>
  <si>
    <t>prop fern</t>
  </si>
  <si>
    <t>prop succulent</t>
  </si>
  <si>
    <t>prop vine</t>
  </si>
  <si>
    <t>Tot</t>
  </si>
  <si>
    <t>J</t>
  </si>
  <si>
    <t>K</t>
  </si>
  <si>
    <t>Protea obtusifolia</t>
  </si>
  <si>
    <t>Leucadendron meridianum</t>
  </si>
  <si>
    <t>Acmadenia mundiana</t>
  </si>
  <si>
    <t>Buchu 2</t>
  </si>
  <si>
    <t xml:space="preserve">Elegia </t>
  </si>
  <si>
    <t>Thamnochortus</t>
  </si>
  <si>
    <t>Leucadendron spp.</t>
  </si>
  <si>
    <t>Shiny Ateraceae</t>
  </si>
  <si>
    <t>Erica spp.</t>
  </si>
  <si>
    <t>Spiky Asteraceae</t>
  </si>
  <si>
    <t>Phylica spp.</t>
  </si>
  <si>
    <t>Anthospermum aethiopicum</t>
  </si>
  <si>
    <t>Phylica spp. 2</t>
  </si>
  <si>
    <t>Olea capensis</t>
  </si>
  <si>
    <t>Asparagaceae spp.</t>
  </si>
  <si>
    <t>Sedge spp.</t>
  </si>
  <si>
    <t>Erharta spp.</t>
  </si>
  <si>
    <t>Maytenus spinosa</t>
  </si>
  <si>
    <t>Arctotheca spp.</t>
  </si>
  <si>
    <t>Site Name</t>
  </si>
  <si>
    <t>Salt marsh</t>
  </si>
  <si>
    <t>Potberg lawn</t>
  </si>
  <si>
    <t>Alien forest</t>
  </si>
  <si>
    <t>Limestone Fynbos</t>
  </si>
  <si>
    <t>Bush clumps</t>
  </si>
  <si>
    <t>Fynbos near Potberg</t>
  </si>
  <si>
    <t>Older Fynbos</t>
  </si>
  <si>
    <t>Younger Fynbos</t>
  </si>
  <si>
    <t>Gazania</t>
  </si>
  <si>
    <t>Stoebe</t>
  </si>
  <si>
    <t>Metalasia pungens</t>
  </si>
  <si>
    <t>Renosterveld1</t>
  </si>
  <si>
    <t>Renosterveld2</t>
  </si>
  <si>
    <t>Base of limestone hills1</t>
  </si>
  <si>
    <t>Base of limestone hills2</t>
  </si>
  <si>
    <t>Serotiny</t>
  </si>
  <si>
    <t>Bare Soil</t>
  </si>
  <si>
    <t>Protea nerifolia</t>
  </si>
  <si>
    <t>Pelargonium myrifolium</t>
  </si>
  <si>
    <t>Cymbopogon pospischilii</t>
  </si>
  <si>
    <t>Morella quercifolia </t>
  </si>
  <si>
    <t>Searsia tomentosa</t>
  </si>
  <si>
    <t>Oedera squarrosa</t>
  </si>
  <si>
    <t>Euchaetis longibracteata</t>
  </si>
  <si>
    <t>Indigofera</t>
  </si>
  <si>
    <t>Restio leptoclados</t>
  </si>
  <si>
    <t>Bobartia indica</t>
  </si>
  <si>
    <t>Tetraria ustulata</t>
  </si>
  <si>
    <t>Prusea</t>
  </si>
  <si>
    <t>Erica cerinthoides</t>
  </si>
  <si>
    <t>Erica plukenetti</t>
  </si>
  <si>
    <t>Serruria nervosa</t>
  </si>
  <si>
    <t>Leucadendron xanthoconum</t>
  </si>
  <si>
    <t>Cliffortia stricta</t>
  </si>
  <si>
    <t>Tetraria bromoides</t>
  </si>
  <si>
    <t>Aulax umbelata</t>
  </si>
  <si>
    <t>Disparago</t>
  </si>
  <si>
    <t>Solanum</t>
  </si>
  <si>
    <t>Rapenea melanophloeos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</si>
</sst>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theme="1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1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7D13-0139-0243-BBB0-EA8D3B16373D}">
  <dimension ref="A1:H13"/>
  <sheetViews>
    <sheetView workbookViewId="0">
      <selection activeCell="F14" sqref="F14"/>
    </sheetView>
  </sheetViews>
  <sheetFormatPr baseColWidth="10" defaultColWidth="10.6640625" defaultRowHeight="16" x14ac:dyDescent="0.2"/>
  <cols>
    <col min="2" max="2" width="19.1640625" bestFit="1" customWidth="1"/>
    <col min="6" max="6" width="13.83203125" bestFit="1" customWidth="1"/>
  </cols>
  <sheetData>
    <row r="1" spans="1:8" x14ac:dyDescent="0.2">
      <c r="A1" t="s">
        <v>0</v>
      </c>
      <c r="B1" t="s">
        <v>134</v>
      </c>
      <c r="C1" t="s">
        <v>6</v>
      </c>
      <c r="D1" t="s">
        <v>150</v>
      </c>
      <c r="E1" t="s">
        <v>8</v>
      </c>
      <c r="F1" t="s">
        <v>7</v>
      </c>
      <c r="G1" t="s">
        <v>151</v>
      </c>
      <c r="H1" t="s">
        <v>26</v>
      </c>
    </row>
    <row r="2" spans="1:8" x14ac:dyDescent="0.2">
      <c r="A2" t="s">
        <v>9</v>
      </c>
      <c r="B2" t="s">
        <v>146</v>
      </c>
      <c r="C2" t="s">
        <v>39</v>
      </c>
      <c r="D2">
        <v>0</v>
      </c>
      <c r="F2">
        <v>0</v>
      </c>
      <c r="G2">
        <v>20</v>
      </c>
      <c r="H2" t="s">
        <v>27</v>
      </c>
    </row>
    <row r="3" spans="1:8" x14ac:dyDescent="0.2">
      <c r="A3" t="s">
        <v>10</v>
      </c>
      <c r="B3" t="s">
        <v>147</v>
      </c>
      <c r="C3" t="s">
        <v>39</v>
      </c>
      <c r="D3">
        <v>0</v>
      </c>
      <c r="F3">
        <v>4.16</v>
      </c>
      <c r="G3">
        <v>10</v>
      </c>
      <c r="H3" t="s">
        <v>27</v>
      </c>
    </row>
    <row r="4" spans="1:8" x14ac:dyDescent="0.2">
      <c r="A4" t="s">
        <v>1</v>
      </c>
      <c r="B4" t="s">
        <v>135</v>
      </c>
      <c r="C4" t="s">
        <v>39</v>
      </c>
      <c r="D4">
        <v>0</v>
      </c>
      <c r="F4">
        <v>0</v>
      </c>
      <c r="G4">
        <v>15</v>
      </c>
      <c r="H4" t="s">
        <v>28</v>
      </c>
    </row>
    <row r="5" spans="1:8" x14ac:dyDescent="0.2">
      <c r="A5" t="s">
        <v>2</v>
      </c>
      <c r="B5" t="s">
        <v>136</v>
      </c>
      <c r="C5" t="s">
        <v>39</v>
      </c>
      <c r="D5">
        <v>0</v>
      </c>
      <c r="F5">
        <f>(86+100+39+0)/4</f>
        <v>56.25</v>
      </c>
      <c r="G5">
        <v>0</v>
      </c>
      <c r="H5" t="s">
        <v>38</v>
      </c>
    </row>
    <row r="6" spans="1:8" x14ac:dyDescent="0.2">
      <c r="A6" t="s">
        <v>3</v>
      </c>
      <c r="B6" t="s">
        <v>140</v>
      </c>
      <c r="C6" t="s">
        <v>39</v>
      </c>
      <c r="D6">
        <v>1</v>
      </c>
      <c r="F6">
        <v>6.5</v>
      </c>
      <c r="G6">
        <v>15</v>
      </c>
      <c r="H6" t="s">
        <v>38</v>
      </c>
    </row>
    <row r="7" spans="1:8" x14ac:dyDescent="0.2">
      <c r="A7" t="s">
        <v>4</v>
      </c>
      <c r="B7" t="s">
        <v>141</v>
      </c>
      <c r="C7" t="s">
        <v>40</v>
      </c>
      <c r="D7">
        <v>1</v>
      </c>
      <c r="F7">
        <v>68.900000000000006</v>
      </c>
      <c r="G7">
        <v>20</v>
      </c>
      <c r="H7" t="s">
        <v>38</v>
      </c>
    </row>
    <row r="8" spans="1:8" x14ac:dyDescent="0.2">
      <c r="A8" t="s">
        <v>5</v>
      </c>
      <c r="B8" t="s">
        <v>142</v>
      </c>
      <c r="C8" t="s">
        <v>40</v>
      </c>
      <c r="D8">
        <v>1</v>
      </c>
      <c r="F8">
        <v>7.54</v>
      </c>
      <c r="G8">
        <v>30</v>
      </c>
      <c r="H8" t="s">
        <v>38</v>
      </c>
    </row>
    <row r="9" spans="1:8" x14ac:dyDescent="0.2">
      <c r="A9" t="s">
        <v>35</v>
      </c>
      <c r="B9" t="s">
        <v>148</v>
      </c>
      <c r="C9" t="s">
        <v>39</v>
      </c>
      <c r="D9">
        <v>0</v>
      </c>
      <c r="F9">
        <v>9.6199999999999992</v>
      </c>
      <c r="G9">
        <v>10</v>
      </c>
      <c r="H9" t="s">
        <v>38</v>
      </c>
    </row>
    <row r="10" spans="1:8" x14ac:dyDescent="0.2">
      <c r="A10" t="s">
        <v>36</v>
      </c>
      <c r="B10" t="s">
        <v>149</v>
      </c>
      <c r="C10" t="s">
        <v>39</v>
      </c>
      <c r="D10">
        <v>0</v>
      </c>
      <c r="F10">
        <v>0.78</v>
      </c>
      <c r="G10">
        <v>25</v>
      </c>
      <c r="H10" t="s">
        <v>38</v>
      </c>
    </row>
    <row r="11" spans="1:8" x14ac:dyDescent="0.2">
      <c r="A11" t="s">
        <v>37</v>
      </c>
      <c r="B11" t="s">
        <v>137</v>
      </c>
      <c r="C11" t="s">
        <v>39</v>
      </c>
      <c r="D11">
        <v>0</v>
      </c>
      <c r="F11">
        <v>82.68</v>
      </c>
      <c r="G11">
        <v>0</v>
      </c>
      <c r="H11" t="s">
        <v>38</v>
      </c>
    </row>
    <row r="12" spans="1:8" x14ac:dyDescent="0.2">
      <c r="A12" t="s">
        <v>113</v>
      </c>
      <c r="B12" t="s">
        <v>138</v>
      </c>
      <c r="C12" t="s">
        <v>40</v>
      </c>
      <c r="D12">
        <v>1</v>
      </c>
      <c r="F12">
        <v>72</v>
      </c>
      <c r="G12">
        <v>20</v>
      </c>
      <c r="H12" t="s">
        <v>38</v>
      </c>
    </row>
    <row r="13" spans="1:8" x14ac:dyDescent="0.2">
      <c r="A13" t="s">
        <v>114</v>
      </c>
      <c r="B13" t="s">
        <v>139</v>
      </c>
      <c r="C13" t="s">
        <v>39</v>
      </c>
      <c r="D13">
        <v>0</v>
      </c>
      <c r="F13">
        <v>5</v>
      </c>
      <c r="G13">
        <v>5</v>
      </c>
      <c r="H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C6E9-3481-DA47-935F-1274FD90430E}">
  <dimension ref="A1:EF22"/>
  <sheetViews>
    <sheetView tabSelected="1" zoomScale="106" workbookViewId="0">
      <selection activeCell="CD12" sqref="CD12"/>
    </sheetView>
  </sheetViews>
  <sheetFormatPr baseColWidth="10" defaultColWidth="10.6640625" defaultRowHeight="16" x14ac:dyDescent="0.2"/>
  <sheetData>
    <row r="1" spans="1:136" ht="17" x14ac:dyDescent="0.2">
      <c r="A1" s="3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25</v>
      </c>
      <c r="I1" t="s">
        <v>18</v>
      </c>
      <c r="J1" t="s">
        <v>17</v>
      </c>
      <c r="K1" t="s">
        <v>19</v>
      </c>
      <c r="L1" t="s">
        <v>21</v>
      </c>
      <c r="M1" t="s">
        <v>173</v>
      </c>
      <c r="N1" t="s">
        <v>172</v>
      </c>
      <c r="O1" t="s">
        <v>22</v>
      </c>
      <c r="P1" t="s">
        <v>23</v>
      </c>
      <c r="Q1" t="s">
        <v>74</v>
      </c>
      <c r="R1" t="s">
        <v>24</v>
      </c>
      <c r="S1" t="s">
        <v>41</v>
      </c>
      <c r="T1" t="s">
        <v>42</v>
      </c>
      <c r="U1" t="s">
        <v>43</v>
      </c>
      <c r="V1" t="s">
        <v>87</v>
      </c>
      <c r="W1" t="s">
        <v>88</v>
      </c>
      <c r="X1" t="s">
        <v>45</v>
      </c>
      <c r="Y1" t="s">
        <v>80</v>
      </c>
      <c r="Z1" t="s">
        <v>98</v>
      </c>
      <c r="AA1" t="s">
        <v>46</v>
      </c>
      <c r="AB1" t="s">
        <v>47</v>
      </c>
      <c r="AC1" t="s">
        <v>152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64</v>
      </c>
      <c r="AM1" t="s">
        <v>44</v>
      </c>
      <c r="AN1" t="s">
        <v>99</v>
      </c>
      <c r="AO1" t="s">
        <v>56</v>
      </c>
      <c r="AP1" t="s">
        <v>57</v>
      </c>
      <c r="AQ1" t="s">
        <v>58</v>
      </c>
      <c r="AR1" t="s">
        <v>59</v>
      </c>
      <c r="AS1" t="s">
        <v>171</v>
      </c>
      <c r="AT1" t="s">
        <v>60</v>
      </c>
      <c r="AU1" t="s">
        <v>84</v>
      </c>
      <c r="AV1" t="s">
        <v>170</v>
      </c>
      <c r="AW1" t="s">
        <v>61</v>
      </c>
      <c r="AX1" t="s">
        <v>169</v>
      </c>
      <c r="AY1" t="s">
        <v>89</v>
      </c>
      <c r="AZ1" t="s">
        <v>62</v>
      </c>
      <c r="BA1" t="s">
        <v>63</v>
      </c>
      <c r="BB1" t="s">
        <v>168</v>
      </c>
      <c r="BC1" t="s">
        <v>65</v>
      </c>
      <c r="BD1" t="s">
        <v>167</v>
      </c>
      <c r="BE1" t="s">
        <v>66</v>
      </c>
      <c r="BF1" t="s">
        <v>166</v>
      </c>
      <c r="BG1" t="s">
        <v>67</v>
      </c>
      <c r="BH1" t="s">
        <v>90</v>
      </c>
      <c r="BI1" t="s">
        <v>68</v>
      </c>
      <c r="BJ1" t="s">
        <v>69</v>
      </c>
      <c r="BK1" t="s">
        <v>70</v>
      </c>
      <c r="BL1" t="s">
        <v>71</v>
      </c>
      <c r="BM1" t="s">
        <v>82</v>
      </c>
      <c r="BN1" t="s">
        <v>144</v>
      </c>
      <c r="BO1" t="s">
        <v>145</v>
      </c>
      <c r="BP1" t="s">
        <v>72</v>
      </c>
      <c r="BQ1" t="s">
        <v>73</v>
      </c>
      <c r="BR1" t="s">
        <v>75</v>
      </c>
      <c r="BS1" t="s">
        <v>76</v>
      </c>
      <c r="BT1" t="s">
        <v>83</v>
      </c>
      <c r="BU1" t="s">
        <v>165</v>
      </c>
      <c r="BV1" t="s">
        <v>164</v>
      </c>
      <c r="BW1" t="s">
        <v>20</v>
      </c>
      <c r="BX1" t="s">
        <v>163</v>
      </c>
      <c r="BY1" t="s">
        <v>162</v>
      </c>
      <c r="BZ1" t="s">
        <v>101</v>
      </c>
      <c r="CA1" t="s">
        <v>77</v>
      </c>
      <c r="CB1" t="s">
        <v>78</v>
      </c>
      <c r="CC1" t="s">
        <v>79</v>
      </c>
      <c r="CD1" t="s">
        <v>86</v>
      </c>
      <c r="CE1" t="s">
        <v>85</v>
      </c>
      <c r="CF1" t="s">
        <v>81</v>
      </c>
      <c r="CG1" t="s">
        <v>161</v>
      </c>
      <c r="CH1" s="13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160</v>
      </c>
      <c r="CP1" t="s">
        <v>122</v>
      </c>
      <c r="CQ1" t="s">
        <v>49</v>
      </c>
      <c r="CR1" t="s">
        <v>123</v>
      </c>
      <c r="CS1" t="s">
        <v>159</v>
      </c>
      <c r="CT1" t="s">
        <v>124</v>
      </c>
      <c r="CU1" t="s">
        <v>125</v>
      </c>
      <c r="CV1" t="s">
        <v>25</v>
      </c>
      <c r="CW1" s="13" t="s">
        <v>126</v>
      </c>
      <c r="CX1" t="s">
        <v>158</v>
      </c>
      <c r="CY1" t="s">
        <v>127</v>
      </c>
      <c r="CZ1" t="s">
        <v>128</v>
      </c>
      <c r="DA1" t="s">
        <v>157</v>
      </c>
      <c r="DB1" t="s">
        <v>156</v>
      </c>
      <c r="DC1" t="s">
        <v>129</v>
      </c>
      <c r="DD1" s="13" t="s">
        <v>155</v>
      </c>
      <c r="DE1" t="s">
        <v>130</v>
      </c>
      <c r="DF1" s="14" t="s">
        <v>154</v>
      </c>
      <c r="DG1" t="s">
        <v>131</v>
      </c>
      <c r="DH1" t="s">
        <v>132</v>
      </c>
      <c r="DI1" t="s">
        <v>143</v>
      </c>
      <c r="DJ1" t="s">
        <v>153</v>
      </c>
      <c r="DK1" t="s">
        <v>133</v>
      </c>
      <c r="DL1" s="3" t="s">
        <v>102</v>
      </c>
      <c r="DM1" s="10" t="s">
        <v>92</v>
      </c>
      <c r="DN1" s="6" t="s">
        <v>95</v>
      </c>
      <c r="DO1" s="6" t="s">
        <v>93</v>
      </c>
      <c r="DP1" s="6" t="s">
        <v>94</v>
      </c>
      <c r="DQ1" s="6" t="s">
        <v>91</v>
      </c>
      <c r="DR1" s="6" t="s">
        <v>97</v>
      </c>
      <c r="DS1" s="6" t="s">
        <v>96</v>
      </c>
      <c r="DT1" s="6" t="s">
        <v>100</v>
      </c>
      <c r="DU1" s="6"/>
      <c r="DV1" s="10" t="s">
        <v>104</v>
      </c>
      <c r="DW1" s="6" t="s">
        <v>105</v>
      </c>
      <c r="DX1" s="6" t="s">
        <v>106</v>
      </c>
      <c r="DY1" s="6" t="s">
        <v>107</v>
      </c>
      <c r="DZ1" s="6" t="s">
        <v>108</v>
      </c>
      <c r="EA1" s="6" t="s">
        <v>109</v>
      </c>
      <c r="EB1" s="6" t="s">
        <v>110</v>
      </c>
      <c r="EC1" s="6" t="s">
        <v>111</v>
      </c>
      <c r="ED1" s="3" t="s">
        <v>112</v>
      </c>
    </row>
    <row r="2" spans="1:136" x14ac:dyDescent="0.2">
      <c r="A2" s="5" t="s">
        <v>103</v>
      </c>
      <c r="B2" s="1" t="s">
        <v>92</v>
      </c>
      <c r="C2" s="1" t="s">
        <v>92</v>
      </c>
      <c r="D2" s="2" t="s">
        <v>92</v>
      </c>
      <c r="E2" s="2" t="s">
        <v>92</v>
      </c>
      <c r="F2" s="1" t="s">
        <v>91</v>
      </c>
      <c r="G2" s="1" t="s">
        <v>92</v>
      </c>
      <c r="H2" s="2" t="s">
        <v>92</v>
      </c>
      <c r="I2" s="1" t="s">
        <v>93</v>
      </c>
      <c r="J2" s="1" t="s">
        <v>93</v>
      </c>
      <c r="K2" s="1" t="s">
        <v>93</v>
      </c>
      <c r="L2" s="2" t="s">
        <v>92</v>
      </c>
      <c r="M2" s="2" t="s">
        <v>92</v>
      </c>
      <c r="N2" s="2" t="s">
        <v>92</v>
      </c>
      <c r="O2" s="2" t="s">
        <v>92</v>
      </c>
      <c r="P2" s="1" t="s">
        <v>93</v>
      </c>
      <c r="Q2" s="1" t="s">
        <v>93</v>
      </c>
      <c r="R2" s="1" t="s">
        <v>93</v>
      </c>
      <c r="S2" s="1" t="s">
        <v>95</v>
      </c>
      <c r="T2" s="2" t="s">
        <v>92</v>
      </c>
      <c r="U2" s="1" t="s">
        <v>93</v>
      </c>
      <c r="V2" s="1" t="s">
        <v>93</v>
      </c>
      <c r="W2" s="1" t="s">
        <v>93</v>
      </c>
      <c r="X2" s="2" t="s">
        <v>92</v>
      </c>
      <c r="Y2" s="1" t="s">
        <v>93</v>
      </c>
      <c r="Z2" s="1" t="s">
        <v>97</v>
      </c>
      <c r="AA2" s="2" t="s">
        <v>92</v>
      </c>
      <c r="AB2" s="2" t="s">
        <v>92</v>
      </c>
      <c r="AC2" s="2" t="s">
        <v>92</v>
      </c>
      <c r="AD2" s="2" t="s">
        <v>95</v>
      </c>
      <c r="AE2" s="2" t="s">
        <v>92</v>
      </c>
      <c r="AF2" s="2" t="s">
        <v>92</v>
      </c>
      <c r="AG2" s="2" t="s">
        <v>92</v>
      </c>
      <c r="AH2" s="2" t="s">
        <v>93</v>
      </c>
      <c r="AI2" s="2" t="s">
        <v>93</v>
      </c>
      <c r="AJ2" s="2" t="s">
        <v>93</v>
      </c>
      <c r="AK2" s="2" t="s">
        <v>92</v>
      </c>
      <c r="AL2" s="2" t="s">
        <v>93</v>
      </c>
      <c r="AM2" s="2" t="s">
        <v>92</v>
      </c>
      <c r="AN2" s="2" t="s">
        <v>92</v>
      </c>
      <c r="AO2" s="2" t="s">
        <v>92</v>
      </c>
      <c r="AP2" s="2" t="s">
        <v>92</v>
      </c>
      <c r="AQ2" s="2" t="s">
        <v>92</v>
      </c>
      <c r="AR2" s="1" t="s">
        <v>93</v>
      </c>
      <c r="AS2" s="2" t="s">
        <v>92</v>
      </c>
      <c r="AT2" s="1" t="s">
        <v>92</v>
      </c>
      <c r="AU2" s="2" t="s">
        <v>93</v>
      </c>
      <c r="AV2" s="2" t="s">
        <v>92</v>
      </c>
      <c r="AW2" s="2" t="s">
        <v>92</v>
      </c>
      <c r="AX2" s="2" t="s">
        <v>93</v>
      </c>
      <c r="AY2" s="2" t="s">
        <v>92</v>
      </c>
      <c r="AZ2" s="2" t="s">
        <v>92</v>
      </c>
      <c r="BA2" s="1" t="s">
        <v>92</v>
      </c>
      <c r="BB2" s="2" t="s">
        <v>92</v>
      </c>
      <c r="BC2" s="2" t="s">
        <v>92</v>
      </c>
      <c r="BD2" s="2" t="s">
        <v>92</v>
      </c>
      <c r="BE2" s="2" t="s">
        <v>93</v>
      </c>
      <c r="BF2" s="2" t="s">
        <v>92</v>
      </c>
      <c r="BG2" s="1" t="s">
        <v>92</v>
      </c>
      <c r="BH2" s="2" t="s">
        <v>92</v>
      </c>
      <c r="BI2" s="1" t="s">
        <v>92</v>
      </c>
      <c r="BJ2" s="2" t="s">
        <v>92</v>
      </c>
      <c r="BK2" s="1" t="s">
        <v>93</v>
      </c>
      <c r="BL2" s="2" t="s">
        <v>93</v>
      </c>
      <c r="BM2" s="2" t="s">
        <v>93</v>
      </c>
      <c r="BN2" s="2" t="s">
        <v>92</v>
      </c>
      <c r="BO2" s="2" t="s">
        <v>92</v>
      </c>
      <c r="BP2" s="2" t="s">
        <v>92</v>
      </c>
      <c r="BQ2" s="2" t="s">
        <v>92</v>
      </c>
      <c r="BR2" s="1" t="s">
        <v>92</v>
      </c>
      <c r="BS2" s="1" t="s">
        <v>96</v>
      </c>
      <c r="BT2" s="2" t="s">
        <v>100</v>
      </c>
      <c r="BU2" s="1" t="s">
        <v>92</v>
      </c>
      <c r="BV2" s="1" t="s">
        <v>92</v>
      </c>
      <c r="BW2" s="2" t="s">
        <v>95</v>
      </c>
      <c r="BX2" s="1" t="s">
        <v>92</v>
      </c>
      <c r="BY2" s="1" t="s">
        <v>93</v>
      </c>
      <c r="BZ2" s="1" t="s">
        <v>92</v>
      </c>
      <c r="CA2" s="1" t="s">
        <v>92</v>
      </c>
      <c r="CB2" s="2" t="s">
        <v>93</v>
      </c>
      <c r="CC2" s="1" t="s">
        <v>92</v>
      </c>
      <c r="CD2" s="1" t="s">
        <v>94</v>
      </c>
      <c r="CE2" s="1" t="s">
        <v>94</v>
      </c>
      <c r="CF2" s="1" t="s">
        <v>94</v>
      </c>
      <c r="CG2" s="1" t="s">
        <v>93</v>
      </c>
      <c r="CH2" s="8" t="s">
        <v>94</v>
      </c>
      <c r="CI2" s="8" t="s">
        <v>92</v>
      </c>
      <c r="CJ2" s="8" t="s">
        <v>92</v>
      </c>
      <c r="CK2" s="8" t="s">
        <v>92</v>
      </c>
      <c r="CL2" s="8" t="s">
        <v>93</v>
      </c>
      <c r="CM2" s="8" t="s">
        <v>93</v>
      </c>
      <c r="CN2" s="8" t="s">
        <v>92</v>
      </c>
      <c r="CO2" s="8" t="s">
        <v>93</v>
      </c>
      <c r="CP2" s="8" t="s">
        <v>92</v>
      </c>
      <c r="CQ2" s="8" t="s">
        <v>92</v>
      </c>
      <c r="CR2" s="8" t="s">
        <v>92</v>
      </c>
      <c r="CS2" s="8" t="s">
        <v>92</v>
      </c>
      <c r="CT2" s="8" t="s">
        <v>92</v>
      </c>
      <c r="CU2" s="8" t="s">
        <v>92</v>
      </c>
      <c r="CV2" s="8" t="s">
        <v>92</v>
      </c>
      <c r="CW2" s="8" t="s">
        <v>92</v>
      </c>
      <c r="CX2" s="8" t="s">
        <v>92</v>
      </c>
      <c r="CY2" s="8" t="s">
        <v>92</v>
      </c>
      <c r="CZ2" s="8" t="s">
        <v>94</v>
      </c>
      <c r="DA2" s="8" t="s">
        <v>92</v>
      </c>
      <c r="DB2" s="8" t="s">
        <v>95</v>
      </c>
      <c r="DC2" s="8" t="s">
        <v>92</v>
      </c>
      <c r="DD2" s="8" t="s">
        <v>92</v>
      </c>
      <c r="DE2" s="8" t="s">
        <v>93</v>
      </c>
      <c r="DF2" s="8" t="s">
        <v>93</v>
      </c>
      <c r="DG2" s="8" t="s">
        <v>93</v>
      </c>
      <c r="DH2" s="8" t="s">
        <v>95</v>
      </c>
      <c r="DI2" s="8" t="s">
        <v>92</v>
      </c>
      <c r="DJ2" s="8" t="s">
        <v>92</v>
      </c>
      <c r="DK2" s="8" t="s">
        <v>92</v>
      </c>
      <c r="DL2" s="9"/>
      <c r="DM2" s="7"/>
      <c r="DN2" s="8"/>
      <c r="DO2" s="8"/>
      <c r="DP2" s="8"/>
      <c r="DQ2" s="8"/>
      <c r="DR2" s="8"/>
      <c r="DS2" s="8"/>
      <c r="DT2" s="8"/>
      <c r="DV2" s="11"/>
      <c r="ED2" s="4"/>
    </row>
    <row r="3" spans="1:136" x14ac:dyDescent="0.2">
      <c r="A3" s="4" t="s">
        <v>9</v>
      </c>
      <c r="B3">
        <v>19</v>
      </c>
      <c r="C3">
        <v>22</v>
      </c>
      <c r="D3">
        <v>10</v>
      </c>
      <c r="E3">
        <v>1</v>
      </c>
      <c r="F3">
        <f>(1600*0.02)/15</f>
        <v>2.1333333333333333</v>
      </c>
      <c r="G3">
        <v>1</v>
      </c>
      <c r="H3">
        <v>1</v>
      </c>
      <c r="I3">
        <v>31</v>
      </c>
      <c r="J3">
        <v>4</v>
      </c>
      <c r="DL3" s="4">
        <f t="shared" ref="DL3:DL12" si="0">SUM(B3:CG3)</f>
        <v>91.133333333333326</v>
      </c>
      <c r="DM3" s="11">
        <f>SUMIF(B2:CG2, DM1, B3:CG3)</f>
        <v>54</v>
      </c>
      <c r="DN3">
        <f>SUMIF(B2:CG2, DN1, B3:CG3)</f>
        <v>0</v>
      </c>
      <c r="DO3">
        <f>SUMIF(B2:CG2, DO1, B3:CG3)</f>
        <v>35</v>
      </c>
      <c r="DP3">
        <f>SUMIF(B2:CG2, DP1, B3:CG3)</f>
        <v>0</v>
      </c>
      <c r="DQ3">
        <f>SUMIF(B2:CG2, DQ1, B3:CG3)</f>
        <v>2.1333333333333333</v>
      </c>
      <c r="DR3">
        <f>SUMIF(G2:DP2, DR1, B3:DP3)</f>
        <v>0</v>
      </c>
      <c r="DS3">
        <f>SUMIF(H2:DQ2, DS1, B3:DQ3)</f>
        <v>0</v>
      </c>
      <c r="DT3">
        <v>0</v>
      </c>
      <c r="DU3">
        <f>SUM(DM3:DT3)</f>
        <v>91.13333333333334</v>
      </c>
      <c r="DV3" s="10">
        <f t="shared" ref="DV3:DV14" si="1">DM3/DL3</f>
        <v>0.59253840526700807</v>
      </c>
      <c r="DW3" s="6">
        <f t="shared" ref="DW3:DW14" si="2">DN3/DL3</f>
        <v>0</v>
      </c>
      <c r="DX3" s="6">
        <f t="shared" ref="DX3:DX14" si="3">DO3/DL3</f>
        <v>0.38405267008046823</v>
      </c>
      <c r="DY3" s="6">
        <f t="shared" ref="DY3:DY14" si="4">DP3/DL3</f>
        <v>0</v>
      </c>
      <c r="DZ3" s="6">
        <f t="shared" ref="DZ3:DZ12" si="5">DQ3/DL3</f>
        <v>2.3408924652523776E-2</v>
      </c>
      <c r="EA3" s="6">
        <f t="shared" ref="EA3:EA12" si="6">DR3/DL3</f>
        <v>0</v>
      </c>
      <c r="EB3" s="6">
        <f t="shared" ref="EB3:EB12" si="7">DS3/DL3</f>
        <v>0</v>
      </c>
      <c r="EC3" s="6">
        <f t="shared" ref="EC3:EC12" si="8">DT3/DL3</f>
        <v>0</v>
      </c>
      <c r="ED3" s="3">
        <f>SUM(DV3:EC3)</f>
        <v>1</v>
      </c>
    </row>
    <row r="4" spans="1:136" x14ac:dyDescent="0.2">
      <c r="A4" s="4" t="s">
        <v>10</v>
      </c>
      <c r="B4">
        <v>30</v>
      </c>
      <c r="C4">
        <v>17</v>
      </c>
      <c r="D4">
        <v>18</v>
      </c>
      <c r="K4">
        <v>1</v>
      </c>
      <c r="DL4" s="4">
        <f t="shared" si="0"/>
        <v>66</v>
      </c>
      <c r="DM4" s="11">
        <f>SUMIF(B2:CG2, DM1, B4:CG4)</f>
        <v>65</v>
      </c>
      <c r="DN4">
        <f>SUMIF(B2:CG2, DN1, B4:CG4)</f>
        <v>0</v>
      </c>
      <c r="DO4">
        <f>SUMIF(B2:CG2, DO1, B4:CG4)</f>
        <v>1</v>
      </c>
      <c r="DP4">
        <f>SUMIF(B2:CG2, DP1, B4:CG4)</f>
        <v>0</v>
      </c>
      <c r="DQ4">
        <f>SUMIF(B2:CG2, DQ1, B4:CG4)</f>
        <v>0</v>
      </c>
      <c r="DR4">
        <f>SUMIF(B2:CG2, DR1, B4:CG4)</f>
        <v>0</v>
      </c>
      <c r="DS4">
        <f>SUMIF(B2:CG2, DS1, B4:CG4)</f>
        <v>0</v>
      </c>
      <c r="DT4">
        <v>0</v>
      </c>
      <c r="DU4">
        <f>SUM(DM4:DT4)</f>
        <v>66</v>
      </c>
      <c r="DV4" s="11">
        <f t="shared" si="1"/>
        <v>0.98484848484848486</v>
      </c>
      <c r="DW4">
        <f t="shared" si="2"/>
        <v>0</v>
      </c>
      <c r="DX4">
        <f t="shared" si="3"/>
        <v>1.5151515151515152E-2</v>
      </c>
      <c r="DY4">
        <f t="shared" si="4"/>
        <v>0</v>
      </c>
      <c r="DZ4">
        <f t="shared" si="5"/>
        <v>0</v>
      </c>
      <c r="EA4">
        <f t="shared" si="6"/>
        <v>0</v>
      </c>
      <c r="EB4">
        <f t="shared" si="7"/>
        <v>0</v>
      </c>
      <c r="EC4">
        <f t="shared" si="8"/>
        <v>0</v>
      </c>
      <c r="ED4" s="4">
        <f t="shared" ref="ED4:ED14" si="9">SUM(DV4:EC4)</f>
        <v>1</v>
      </c>
    </row>
    <row r="5" spans="1:136" x14ac:dyDescent="0.2">
      <c r="A5" s="4" t="s">
        <v>1</v>
      </c>
      <c r="L5">
        <f>(16000*0.9)/400</f>
        <v>36</v>
      </c>
      <c r="DL5" s="4">
        <f t="shared" si="0"/>
        <v>36</v>
      </c>
      <c r="DM5" s="11">
        <f>SUMIF(B2:CG2, DM1, B5:CG5)</f>
        <v>36</v>
      </c>
      <c r="DN5">
        <f>SUMIF(B2:CG2, DN1, B5:CG5)</f>
        <v>0</v>
      </c>
      <c r="DO5">
        <f>SUMIF(D2:DM2, DO1, D5:DM5)</f>
        <v>0</v>
      </c>
      <c r="DP5">
        <f>SUMIF(B2:CG2, DP1, B5:CG5)</f>
        <v>0</v>
      </c>
      <c r="DQ5">
        <f>SUMIF(F2:DO2, DQ1, F5:DO5)</f>
        <v>0</v>
      </c>
      <c r="DR5">
        <f>SUMIF(B2:CG2, DR1, B5:CG5)</f>
        <v>0</v>
      </c>
      <c r="DS5">
        <f>SUMIF(H2:DQ2, DS1, H5:DQ5)</f>
        <v>0</v>
      </c>
      <c r="DT5">
        <v>0</v>
      </c>
      <c r="DU5">
        <f t="shared" ref="DU5:DU15" si="10">SUM(DM5:DT5)</f>
        <v>36</v>
      </c>
      <c r="DV5" s="11">
        <f t="shared" si="1"/>
        <v>1</v>
      </c>
      <c r="DW5">
        <f t="shared" si="2"/>
        <v>0</v>
      </c>
      <c r="DX5">
        <f t="shared" si="3"/>
        <v>0</v>
      </c>
      <c r="DY5">
        <f t="shared" si="4"/>
        <v>0</v>
      </c>
      <c r="DZ5">
        <f t="shared" si="5"/>
        <v>0</v>
      </c>
      <c r="EA5">
        <f t="shared" si="6"/>
        <v>0</v>
      </c>
      <c r="EB5">
        <f t="shared" si="7"/>
        <v>0</v>
      </c>
      <c r="EC5">
        <f t="shared" si="8"/>
        <v>0</v>
      </c>
      <c r="ED5" s="4">
        <f t="shared" si="9"/>
        <v>1</v>
      </c>
    </row>
    <row r="6" spans="1:136" x14ac:dyDescent="0.2">
      <c r="A6" s="4" t="s">
        <v>2</v>
      </c>
      <c r="F6">
        <v>27</v>
      </c>
      <c r="M6">
        <v>1</v>
      </c>
      <c r="N6">
        <v>55</v>
      </c>
      <c r="O6">
        <v>24</v>
      </c>
      <c r="P6">
        <f>(16000*0.03)/150</f>
        <v>3.2</v>
      </c>
      <c r="Q6">
        <f>(16000*0.89)/150</f>
        <v>94.933333333333337</v>
      </c>
      <c r="R6">
        <f>(16000*0.08)/150</f>
        <v>8.5333333333333332</v>
      </c>
      <c r="DL6" s="4">
        <f t="shared" si="0"/>
        <v>213.66666666666666</v>
      </c>
      <c r="DM6" s="11">
        <f>SUMIF(B2:CG2, DM1, B6:CG6)</f>
        <v>80</v>
      </c>
      <c r="DN6">
        <f>SUMIF(B2:CG2, DN1, B6:CG6)</f>
        <v>0</v>
      </c>
      <c r="DO6">
        <f>SUMIF(B2:CG2, DO1, B6:CG6)</f>
        <v>106.66666666666667</v>
      </c>
      <c r="DP6">
        <f>SUMIF(B2:CG2, DP1, B6:CG6)</f>
        <v>0</v>
      </c>
      <c r="DQ6">
        <f>SUMIF(B2:CG2, DQ1, B6:CG6)</f>
        <v>27</v>
      </c>
      <c r="DR6">
        <f>SUMIF(B2:CG2, DR1, B6:CG6)</f>
        <v>0</v>
      </c>
      <c r="DS6">
        <f>SUMIF(B2:CG2, DS1, B6:CG6)</f>
        <v>0</v>
      </c>
      <c r="DT6">
        <v>0</v>
      </c>
      <c r="DU6">
        <f t="shared" si="10"/>
        <v>213.66666666666669</v>
      </c>
      <c r="DV6" s="11">
        <f t="shared" si="1"/>
        <v>0.37441497659906398</v>
      </c>
      <c r="DW6">
        <f t="shared" si="2"/>
        <v>0</v>
      </c>
      <c r="DX6">
        <f t="shared" si="3"/>
        <v>0.49921996879875197</v>
      </c>
      <c r="DY6">
        <f t="shared" si="4"/>
        <v>0</v>
      </c>
      <c r="DZ6">
        <f t="shared" si="5"/>
        <v>0.12636505460218408</v>
      </c>
      <c r="EA6">
        <f t="shared" si="6"/>
        <v>0</v>
      </c>
      <c r="EB6">
        <f t="shared" si="7"/>
        <v>0</v>
      </c>
      <c r="EC6">
        <f t="shared" si="8"/>
        <v>0</v>
      </c>
      <c r="ED6" s="4">
        <f t="shared" si="9"/>
        <v>1</v>
      </c>
    </row>
    <row r="7" spans="1:136" x14ac:dyDescent="0.2">
      <c r="A7" s="4" t="s">
        <v>3</v>
      </c>
      <c r="Y7">
        <v>3</v>
      </c>
      <c r="AQ7">
        <v>5</v>
      </c>
      <c r="BG7">
        <v>5</v>
      </c>
      <c r="BJ7">
        <v>7</v>
      </c>
      <c r="BT7">
        <v>6</v>
      </c>
      <c r="BU7">
        <v>1</v>
      </c>
      <c r="BV7">
        <v>1</v>
      </c>
      <c r="BW7">
        <v>2</v>
      </c>
      <c r="BX7">
        <v>11</v>
      </c>
      <c r="BY7">
        <v>2</v>
      </c>
      <c r="BZ7">
        <v>2</v>
      </c>
      <c r="CA7">
        <v>4</v>
      </c>
      <c r="CB7">
        <v>11</v>
      </c>
      <c r="CC7">
        <v>17</v>
      </c>
      <c r="DL7" s="4">
        <f t="shared" si="0"/>
        <v>77</v>
      </c>
      <c r="DM7" s="11">
        <f>SUMIF(B2:CG2, DM1, B7:CG7)</f>
        <v>53</v>
      </c>
      <c r="DN7">
        <f>SUMIF(B2:CG2, DN1, B7:CG7)</f>
        <v>2</v>
      </c>
      <c r="DO7">
        <f>SUMIF(B2:CG2, DO1, B7:CG7)</f>
        <v>16</v>
      </c>
      <c r="DP7">
        <f>SUMIF(B2:CG2, DP1, B7:CG7)</f>
        <v>0</v>
      </c>
      <c r="DQ7">
        <f>SUMIF(B2:CG2, DQ1, B7:CG7)</f>
        <v>0</v>
      </c>
      <c r="DR7">
        <f>SUMIF(B2:CG2, DR1, B7:CG7)</f>
        <v>0</v>
      </c>
      <c r="DS7">
        <f>SUMIF(B2:CG2, DS1, B7:CG7)</f>
        <v>0</v>
      </c>
      <c r="DT7">
        <v>6</v>
      </c>
      <c r="DU7">
        <f t="shared" si="10"/>
        <v>77</v>
      </c>
      <c r="DV7" s="11">
        <f t="shared" si="1"/>
        <v>0.68831168831168832</v>
      </c>
      <c r="DW7">
        <f t="shared" si="2"/>
        <v>2.5974025974025976E-2</v>
      </c>
      <c r="DX7">
        <f t="shared" si="3"/>
        <v>0.20779220779220781</v>
      </c>
      <c r="DY7">
        <f t="shared" si="4"/>
        <v>0</v>
      </c>
      <c r="DZ7">
        <f t="shared" si="5"/>
        <v>0</v>
      </c>
      <c r="EA7">
        <f t="shared" si="6"/>
        <v>0</v>
      </c>
      <c r="EB7">
        <f t="shared" si="7"/>
        <v>0</v>
      </c>
      <c r="EC7">
        <f t="shared" si="8"/>
        <v>7.792207792207792E-2</v>
      </c>
      <c r="ED7" s="4">
        <f t="shared" si="9"/>
        <v>1</v>
      </c>
    </row>
    <row r="8" spans="1:136" x14ac:dyDescent="0.2">
      <c r="A8" s="4" t="s">
        <v>4</v>
      </c>
      <c r="S8">
        <v>8</v>
      </c>
      <c r="T8">
        <v>3</v>
      </c>
      <c r="U8">
        <v>1</v>
      </c>
      <c r="V8">
        <v>2</v>
      </c>
      <c r="W8">
        <v>2</v>
      </c>
      <c r="X8">
        <v>1</v>
      </c>
      <c r="Y8">
        <v>1</v>
      </c>
      <c r="Z8">
        <v>15</v>
      </c>
      <c r="AA8">
        <v>3</v>
      </c>
      <c r="AB8">
        <v>1</v>
      </c>
      <c r="AC8">
        <v>1</v>
      </c>
      <c r="AD8">
        <v>1</v>
      </c>
      <c r="AE8">
        <v>1</v>
      </c>
      <c r="AF8">
        <v>6</v>
      </c>
      <c r="AG8">
        <v>1</v>
      </c>
      <c r="DL8" s="4">
        <f t="shared" si="0"/>
        <v>47</v>
      </c>
      <c r="DM8" s="11">
        <f>SUMIF(B2:CG2, DM1, B8:CG8)</f>
        <v>17</v>
      </c>
      <c r="DN8">
        <f>SUMIF(B2:CG2, DN1, B8:CG8)</f>
        <v>9</v>
      </c>
      <c r="DO8">
        <f>SUMIF(B2:CG2, DO1, B8:CG8)</f>
        <v>6</v>
      </c>
      <c r="DP8">
        <f>SUMIF(B2:CG2, DP1, B8:CG8)</f>
        <v>0</v>
      </c>
      <c r="DQ8">
        <f>SUMIF(B2:CG2, DQ1, B8:CG8)</f>
        <v>0</v>
      </c>
      <c r="DR8">
        <f>SUMIF(B2:CG2, DR1, B8:CG8)</f>
        <v>15</v>
      </c>
      <c r="DS8">
        <f>SUMIF(B2:CG2, DS1, B8:CG8)</f>
        <v>0</v>
      </c>
      <c r="DT8">
        <v>0</v>
      </c>
      <c r="DU8">
        <f t="shared" si="10"/>
        <v>47</v>
      </c>
      <c r="DV8" s="11">
        <f t="shared" si="1"/>
        <v>0.36170212765957449</v>
      </c>
      <c r="DW8">
        <f t="shared" si="2"/>
        <v>0.19148936170212766</v>
      </c>
      <c r="DX8">
        <f t="shared" si="3"/>
        <v>0.1276595744680851</v>
      </c>
      <c r="DY8">
        <f t="shared" si="4"/>
        <v>0</v>
      </c>
      <c r="DZ8">
        <f t="shared" si="5"/>
        <v>0</v>
      </c>
      <c r="EA8">
        <f t="shared" si="6"/>
        <v>0.31914893617021278</v>
      </c>
      <c r="EB8">
        <f t="shared" si="7"/>
        <v>0</v>
      </c>
      <c r="EC8">
        <f t="shared" si="8"/>
        <v>0</v>
      </c>
      <c r="ED8" s="4">
        <f t="shared" si="9"/>
        <v>1</v>
      </c>
    </row>
    <row r="9" spans="1:136" x14ac:dyDescent="0.2">
      <c r="A9" s="4" t="s">
        <v>5</v>
      </c>
      <c r="B9">
        <v>1</v>
      </c>
      <c r="AH9">
        <v>1</v>
      </c>
      <c r="AI9">
        <v>1</v>
      </c>
      <c r="AJ9">
        <v>1</v>
      </c>
      <c r="AK9">
        <v>3</v>
      </c>
      <c r="AL9">
        <v>3</v>
      </c>
      <c r="AM9">
        <v>3</v>
      </c>
      <c r="AN9">
        <v>1</v>
      </c>
      <c r="AO9">
        <v>30</v>
      </c>
      <c r="AP9">
        <v>1</v>
      </c>
      <c r="AQ9">
        <v>1</v>
      </c>
      <c r="AR9">
        <v>24</v>
      </c>
      <c r="AS9">
        <v>1</v>
      </c>
      <c r="AT9">
        <v>1</v>
      </c>
      <c r="AU9">
        <v>13</v>
      </c>
      <c r="AV9">
        <v>1</v>
      </c>
      <c r="AW9">
        <v>2</v>
      </c>
      <c r="AX9">
        <v>5</v>
      </c>
      <c r="AY9">
        <v>1</v>
      </c>
      <c r="DL9" s="4">
        <f t="shared" si="0"/>
        <v>94</v>
      </c>
      <c r="DM9" s="11">
        <f>SUMIF(B2:CG2, DM1, B9:CG9)</f>
        <v>46</v>
      </c>
      <c r="DN9">
        <f>SUMIF(B2:CG2, DN1, B9:CG9)</f>
        <v>0</v>
      </c>
      <c r="DO9">
        <f>SUMIF(B2:CG2, DO1, B9:CG9)</f>
        <v>48</v>
      </c>
      <c r="DP9">
        <f>SUMIF(B2:CG2, DP1, B9:CG9)</f>
        <v>0</v>
      </c>
      <c r="DQ9">
        <f>SUMIF(B2:CG2, DQ1, B9:CG9)</f>
        <v>0</v>
      </c>
      <c r="DR9">
        <f>SUMIF(B2:CG2, DR1, B9:CG9)</f>
        <v>0</v>
      </c>
      <c r="DS9">
        <f>SUMIF(B2:CG2, DS1, B9:CG9)</f>
        <v>0</v>
      </c>
      <c r="DT9">
        <v>0</v>
      </c>
      <c r="DU9">
        <f t="shared" si="10"/>
        <v>94</v>
      </c>
      <c r="DV9" s="11">
        <f t="shared" si="1"/>
        <v>0.48936170212765956</v>
      </c>
      <c r="DW9">
        <f t="shared" si="2"/>
        <v>0</v>
      </c>
      <c r="DX9">
        <f t="shared" si="3"/>
        <v>0.51063829787234039</v>
      </c>
      <c r="DY9">
        <f t="shared" si="4"/>
        <v>0</v>
      </c>
      <c r="DZ9">
        <f t="shared" si="5"/>
        <v>0</v>
      </c>
      <c r="EA9">
        <f t="shared" si="6"/>
        <v>0</v>
      </c>
      <c r="EB9">
        <f t="shared" si="7"/>
        <v>0</v>
      </c>
      <c r="EC9">
        <f t="shared" si="8"/>
        <v>0</v>
      </c>
      <c r="ED9" s="4">
        <f t="shared" si="9"/>
        <v>1</v>
      </c>
    </row>
    <row r="10" spans="1:136" x14ac:dyDescent="0.2">
      <c r="A10" s="4" t="s">
        <v>35</v>
      </c>
      <c r="AI10">
        <v>20</v>
      </c>
      <c r="AL10">
        <v>15</v>
      </c>
      <c r="AZ10">
        <v>7</v>
      </c>
      <c r="BA10">
        <v>8</v>
      </c>
      <c r="BB10">
        <v>7</v>
      </c>
      <c r="BC10">
        <v>1</v>
      </c>
      <c r="BD10">
        <v>5</v>
      </c>
      <c r="BE10">
        <v>15</v>
      </c>
      <c r="BF10">
        <v>11</v>
      </c>
      <c r="BG10">
        <v>9</v>
      </c>
      <c r="BH10">
        <v>4</v>
      </c>
      <c r="BI10">
        <v>7</v>
      </c>
      <c r="BJ10">
        <v>2</v>
      </c>
      <c r="BK10">
        <v>1</v>
      </c>
      <c r="BL10">
        <v>1</v>
      </c>
      <c r="DL10" s="4">
        <f t="shared" si="0"/>
        <v>113</v>
      </c>
      <c r="DM10" s="11">
        <f>SUMIF(B2:CG2, DM1, B10:CG10)</f>
        <v>61</v>
      </c>
      <c r="DN10">
        <f>SUMIF(B2:CG2, DN1, B10:CG10)</f>
        <v>0</v>
      </c>
      <c r="DO10">
        <f>SUMIF(B2:CG2, DO1, B10:CG10)</f>
        <v>52</v>
      </c>
      <c r="DP10">
        <f>SUMIF(B2:CG2, DP1, B10:CG10)</f>
        <v>0</v>
      </c>
      <c r="DQ10">
        <f>SUMIF(B2:CG2, DQ1, B10:CG10)</f>
        <v>0</v>
      </c>
      <c r="DR10">
        <f>SUMIF(B2:CG2, DR1, B10:CG10)</f>
        <v>0</v>
      </c>
      <c r="DS10">
        <f>SUMIF(B2:CG2, DS1, B10:CG10)</f>
        <v>0</v>
      </c>
      <c r="DT10">
        <v>0</v>
      </c>
      <c r="DU10">
        <f t="shared" si="10"/>
        <v>113</v>
      </c>
      <c r="DV10" s="11">
        <f t="shared" si="1"/>
        <v>0.53982300884955747</v>
      </c>
      <c r="DW10">
        <f t="shared" si="2"/>
        <v>0</v>
      </c>
      <c r="DX10">
        <f t="shared" si="3"/>
        <v>0.46017699115044247</v>
      </c>
      <c r="DY10">
        <f t="shared" si="4"/>
        <v>0</v>
      </c>
      <c r="DZ10">
        <f t="shared" si="5"/>
        <v>0</v>
      </c>
      <c r="EA10">
        <f t="shared" si="6"/>
        <v>0</v>
      </c>
      <c r="EB10">
        <f t="shared" si="7"/>
        <v>0</v>
      </c>
      <c r="EC10">
        <f t="shared" si="8"/>
        <v>0</v>
      </c>
      <c r="ED10" s="4">
        <f t="shared" si="9"/>
        <v>1</v>
      </c>
    </row>
    <row r="11" spans="1:136" x14ac:dyDescent="0.2">
      <c r="A11" s="4" t="s">
        <v>36</v>
      </c>
      <c r="C11">
        <v>2</v>
      </c>
      <c r="I11">
        <v>16</v>
      </c>
      <c r="Q11">
        <f>64/3</f>
        <v>21.333333333333332</v>
      </c>
      <c r="AM11">
        <v>1</v>
      </c>
      <c r="BM11">
        <v>4</v>
      </c>
      <c r="BN11">
        <v>1</v>
      </c>
      <c r="BO11">
        <v>1</v>
      </c>
      <c r="BP11">
        <v>14</v>
      </c>
      <c r="BQ11">
        <v>1</v>
      </c>
      <c r="BR11">
        <v>1</v>
      </c>
      <c r="BS11">
        <v>15</v>
      </c>
      <c r="DL11" s="4">
        <f t="shared" si="0"/>
        <v>77.333333333333329</v>
      </c>
      <c r="DM11" s="11">
        <f>SUMIF(B2:CG2, DM1, B11:CG11)</f>
        <v>21</v>
      </c>
      <c r="DN11">
        <f>SUMIF(B2:CG2, DN1, B11:CG11)</f>
        <v>0</v>
      </c>
      <c r="DO11">
        <f>SUMIF(B2:CG2, DO1, B11:CG11)</f>
        <v>41.333333333333329</v>
      </c>
      <c r="DP11">
        <f>SUMIF(B2:CG2, DP1, B11:CG11)</f>
        <v>0</v>
      </c>
      <c r="DQ11">
        <f>SUMIF(B2:CG2, DQ1, B11:CG11)</f>
        <v>0</v>
      </c>
      <c r="DR11">
        <f>SUMIF(B2:CG2, DR1, B11:CG11)</f>
        <v>0</v>
      </c>
      <c r="DS11">
        <f>SUMIF(B2:CG2, DS1, B11:CG11)</f>
        <v>15</v>
      </c>
      <c r="DT11">
        <v>0</v>
      </c>
      <c r="DU11">
        <f t="shared" si="10"/>
        <v>77.333333333333329</v>
      </c>
      <c r="DV11" s="11">
        <f t="shared" si="1"/>
        <v>0.27155172413793105</v>
      </c>
      <c r="DW11">
        <f t="shared" si="2"/>
        <v>0</v>
      </c>
      <c r="DX11">
        <f t="shared" si="3"/>
        <v>0.53448275862068961</v>
      </c>
      <c r="DY11">
        <f t="shared" si="4"/>
        <v>0</v>
      </c>
      <c r="DZ11">
        <f t="shared" si="5"/>
        <v>0</v>
      </c>
      <c r="EA11">
        <f t="shared" si="6"/>
        <v>0</v>
      </c>
      <c r="EB11">
        <f t="shared" si="7"/>
        <v>0.19396551724137931</v>
      </c>
      <c r="EC11">
        <f t="shared" si="8"/>
        <v>0</v>
      </c>
      <c r="ED11" s="4">
        <f t="shared" si="9"/>
        <v>1</v>
      </c>
    </row>
    <row r="12" spans="1:136" x14ac:dyDescent="0.2">
      <c r="A12" s="4" t="s">
        <v>37</v>
      </c>
      <c r="CD12">
        <v>5</v>
      </c>
      <c r="CE12">
        <v>4</v>
      </c>
      <c r="CF12">
        <v>1</v>
      </c>
      <c r="CG12">
        <v>2</v>
      </c>
      <c r="DL12" s="4">
        <f t="shared" si="0"/>
        <v>12</v>
      </c>
      <c r="DM12" s="11">
        <f>SUMIF(B2:CG2, DM1, B12:CG12)</f>
        <v>0</v>
      </c>
      <c r="DN12">
        <f>SUMIF(B2:CG2, DN1, B12:CG15)</f>
        <v>0</v>
      </c>
      <c r="DO12">
        <f>SUMIF(B2:CG2, DO1, B12:CG15)</f>
        <v>2</v>
      </c>
      <c r="DP12">
        <f>SUMIF(B2:CG2, DP1, B12:CG12)</f>
        <v>10</v>
      </c>
      <c r="DQ12">
        <f>SUMIF(B2:CG2, DQ1, B12:CG15)</f>
        <v>0</v>
      </c>
      <c r="DR12">
        <f>SUMIF(B2:CG2, DR1, B12:CG15)</f>
        <v>0</v>
      </c>
      <c r="DS12">
        <f>SUMIF(B2:CG2, DS1, B12:CG15)</f>
        <v>0</v>
      </c>
      <c r="DT12">
        <v>0</v>
      </c>
      <c r="DU12">
        <f t="shared" si="10"/>
        <v>12</v>
      </c>
      <c r="DV12" s="11">
        <f t="shared" si="1"/>
        <v>0</v>
      </c>
      <c r="DW12">
        <f t="shared" si="2"/>
        <v>0</v>
      </c>
      <c r="DX12">
        <f t="shared" si="3"/>
        <v>0.16666666666666666</v>
      </c>
      <c r="DY12">
        <f t="shared" si="4"/>
        <v>0.83333333333333337</v>
      </c>
      <c r="DZ12">
        <f t="shared" si="5"/>
        <v>0</v>
      </c>
      <c r="EA12">
        <f t="shared" si="6"/>
        <v>0</v>
      </c>
      <c r="EB12">
        <f t="shared" si="7"/>
        <v>0</v>
      </c>
      <c r="EC12">
        <f t="shared" si="8"/>
        <v>0</v>
      </c>
      <c r="ED12" s="4">
        <f t="shared" si="9"/>
        <v>1</v>
      </c>
    </row>
    <row r="13" spans="1:136" x14ac:dyDescent="0.2">
      <c r="A13" s="4" t="s">
        <v>113</v>
      </c>
      <c r="CH13">
        <v>8</v>
      </c>
      <c r="CI13">
        <v>6</v>
      </c>
      <c r="CJ13">
        <v>8</v>
      </c>
      <c r="CK13">
        <v>24</v>
      </c>
      <c r="CL13">
        <v>11</v>
      </c>
      <c r="CM13">
        <v>12</v>
      </c>
      <c r="CN13">
        <v>5</v>
      </c>
      <c r="CO13">
        <v>26</v>
      </c>
      <c r="CP13">
        <v>2</v>
      </c>
      <c r="CQ13">
        <v>13</v>
      </c>
      <c r="CR13">
        <v>9</v>
      </c>
      <c r="CS13">
        <v>4</v>
      </c>
      <c r="CT13">
        <v>4</v>
      </c>
      <c r="CU13">
        <v>2</v>
      </c>
      <c r="CV13">
        <v>2</v>
      </c>
      <c r="CW13">
        <v>1</v>
      </c>
      <c r="CX13">
        <v>3</v>
      </c>
      <c r="CY13">
        <v>5</v>
      </c>
      <c r="DL13" s="4">
        <f>SUM(B13:CZ13)</f>
        <v>145</v>
      </c>
      <c r="DM13">
        <f>SUMIF(B2:DK2, DM1, B13:DK13)</f>
        <v>88</v>
      </c>
      <c r="DN13">
        <f>SUMIF(B2:DK2, DN1, B13:DK13)</f>
        <v>0</v>
      </c>
      <c r="DO13">
        <f>SUMIF(B2:DK2, DO1, B13:DK13)</f>
        <v>49</v>
      </c>
      <c r="DP13">
        <f>SUMIF(B2:DK2, DP1, B13:DK13)</f>
        <v>8</v>
      </c>
      <c r="DQ13">
        <f>SUMIF(B2:DK2, DQ1, B13:DK13)</f>
        <v>0</v>
      </c>
      <c r="DR13">
        <f>SUMIF(B2:DK2, DR1, B13:DK13)</f>
        <v>0</v>
      </c>
      <c r="DS13">
        <v>0</v>
      </c>
      <c r="DT13">
        <v>0</v>
      </c>
      <c r="DU13">
        <f t="shared" si="10"/>
        <v>145</v>
      </c>
      <c r="DV13" s="11">
        <f t="shared" si="1"/>
        <v>0.60689655172413792</v>
      </c>
      <c r="DW13">
        <f t="shared" si="2"/>
        <v>0</v>
      </c>
      <c r="DX13">
        <f t="shared" si="3"/>
        <v>0.33793103448275863</v>
      </c>
      <c r="DY13" s="11">
        <f t="shared" si="4"/>
        <v>5.5172413793103448E-2</v>
      </c>
      <c r="DZ13">
        <f t="shared" ref="DZ13" si="11">DQ13/DO13</f>
        <v>0</v>
      </c>
      <c r="EA13">
        <f t="shared" ref="EA13:EA14" si="12">DR13/DO13</f>
        <v>0</v>
      </c>
      <c r="EB13" s="11">
        <v>0</v>
      </c>
      <c r="EC13">
        <v>0</v>
      </c>
      <c r="ED13" s="4">
        <f t="shared" si="9"/>
        <v>1</v>
      </c>
    </row>
    <row r="14" spans="1:136" x14ac:dyDescent="0.2">
      <c r="A14" s="4" t="s">
        <v>114</v>
      </c>
      <c r="Q14">
        <f>(16000*0.3)/150</f>
        <v>32</v>
      </c>
      <c r="S14">
        <v>2</v>
      </c>
      <c r="CS14">
        <v>6</v>
      </c>
      <c r="CZ14">
        <v>2</v>
      </c>
      <c r="DA14">
        <v>9</v>
      </c>
      <c r="DB14">
        <v>2</v>
      </c>
      <c r="DC14">
        <v>5</v>
      </c>
      <c r="DD14">
        <v>20</v>
      </c>
      <c r="DE14">
        <v>40</v>
      </c>
      <c r="DF14">
        <f>(16000*0.3)/400</f>
        <v>12</v>
      </c>
      <c r="DG14">
        <v>15</v>
      </c>
      <c r="DH14">
        <v>1</v>
      </c>
      <c r="DI14">
        <v>5</v>
      </c>
      <c r="DJ14">
        <v>1</v>
      </c>
      <c r="DK14">
        <v>23</v>
      </c>
      <c r="DL14" s="4">
        <f>SUM(B14:DK14)</f>
        <v>175</v>
      </c>
      <c r="DM14">
        <f ca="1">SUMIF(B2:DK2, DM1, B14:CG14)</f>
        <v>69</v>
      </c>
      <c r="DN14">
        <f ca="1">SUMIF(B2:DK2, DN1, B14:CG14)</f>
        <v>5</v>
      </c>
      <c r="DO14">
        <f ca="1">SUMIF(B2:DK2, DO1, B14:CG14)</f>
        <v>99</v>
      </c>
      <c r="DP14">
        <f ca="1">SUMIF(B2:DK2, DP1, B14:CG14)</f>
        <v>2</v>
      </c>
      <c r="DQ14">
        <f ca="1">SUMIF(B2:DK2, DQ1, B14:CG14)</f>
        <v>0</v>
      </c>
      <c r="DR14">
        <f ca="1">SUMIF(B2:DK2, DR1, B14:CG14)</f>
        <v>0</v>
      </c>
      <c r="DS14">
        <f ca="1">SUMIF(B2:DK2, DS1, B14:CG14)</f>
        <v>0</v>
      </c>
      <c r="DT14">
        <v>0</v>
      </c>
      <c r="DU14">
        <f t="shared" ca="1" si="10"/>
        <v>175</v>
      </c>
      <c r="DV14" s="11">
        <f t="shared" ca="1" si="1"/>
        <v>0.39428571428571429</v>
      </c>
      <c r="DW14">
        <f t="shared" ca="1" si="2"/>
        <v>2.8571428571428571E-2</v>
      </c>
      <c r="DX14">
        <f t="shared" ca="1" si="3"/>
        <v>0.56571428571428573</v>
      </c>
      <c r="DY14" s="11">
        <f t="shared" ca="1" si="4"/>
        <v>1.1428571428571429E-2</v>
      </c>
      <c r="DZ14">
        <f ca="1">DQ14/DL14</f>
        <v>0</v>
      </c>
      <c r="EA14">
        <f t="shared" ca="1" si="12"/>
        <v>0</v>
      </c>
      <c r="EB14" s="11">
        <v>0</v>
      </c>
      <c r="EC14">
        <v>0</v>
      </c>
      <c r="ED14" s="4">
        <f t="shared" ca="1" si="9"/>
        <v>1</v>
      </c>
    </row>
    <row r="15" spans="1:136" s="1" customFormat="1" x14ac:dyDescent="0.2">
      <c r="A15" s="5" t="s">
        <v>102</v>
      </c>
      <c r="B15" s="1">
        <f>SUM(B3:B14)</f>
        <v>50</v>
      </c>
      <c r="C15" s="1">
        <f>SUM(C3:C14)</f>
        <v>41</v>
      </c>
      <c r="D15" s="1">
        <f t="shared" ref="D15:BO15" si="13">SUM(D3:D14)</f>
        <v>28</v>
      </c>
      <c r="E15" s="1">
        <f t="shared" si="13"/>
        <v>1</v>
      </c>
      <c r="F15" s="1">
        <f t="shared" si="13"/>
        <v>29.133333333333333</v>
      </c>
      <c r="G15" s="1">
        <f t="shared" si="13"/>
        <v>1</v>
      </c>
      <c r="H15" s="1">
        <f t="shared" si="13"/>
        <v>1</v>
      </c>
      <c r="I15" s="1">
        <f t="shared" si="13"/>
        <v>47</v>
      </c>
      <c r="J15" s="1">
        <f t="shared" si="13"/>
        <v>4</v>
      </c>
      <c r="K15" s="1">
        <f t="shared" si="13"/>
        <v>1</v>
      </c>
      <c r="L15" s="1">
        <f t="shared" si="13"/>
        <v>36</v>
      </c>
      <c r="M15" s="1">
        <f t="shared" si="13"/>
        <v>1</v>
      </c>
      <c r="N15" s="1">
        <f t="shared" si="13"/>
        <v>55</v>
      </c>
      <c r="O15" s="1">
        <f t="shared" si="13"/>
        <v>24</v>
      </c>
      <c r="P15" s="1">
        <f t="shared" si="13"/>
        <v>3.2</v>
      </c>
      <c r="Q15" s="1">
        <f t="shared" si="13"/>
        <v>148.26666666666665</v>
      </c>
      <c r="R15" s="1">
        <f t="shared" si="13"/>
        <v>8.5333333333333332</v>
      </c>
      <c r="S15" s="1">
        <f t="shared" si="13"/>
        <v>10</v>
      </c>
      <c r="T15" s="1">
        <f t="shared" si="13"/>
        <v>3</v>
      </c>
      <c r="U15" s="1">
        <f t="shared" si="13"/>
        <v>1</v>
      </c>
      <c r="V15" s="1">
        <f t="shared" si="13"/>
        <v>2</v>
      </c>
      <c r="W15" s="1">
        <f t="shared" si="13"/>
        <v>2</v>
      </c>
      <c r="X15" s="1">
        <f t="shared" si="13"/>
        <v>1</v>
      </c>
      <c r="Y15" s="1">
        <f t="shared" si="13"/>
        <v>4</v>
      </c>
      <c r="Z15" s="1">
        <f t="shared" si="13"/>
        <v>15</v>
      </c>
      <c r="AA15" s="1">
        <f t="shared" si="13"/>
        <v>3</v>
      </c>
      <c r="AB15" s="1">
        <f t="shared" si="13"/>
        <v>1</v>
      </c>
      <c r="AC15" s="1">
        <f t="shared" si="13"/>
        <v>1</v>
      </c>
      <c r="AD15" s="1">
        <f t="shared" si="13"/>
        <v>1</v>
      </c>
      <c r="AE15" s="1">
        <f t="shared" si="13"/>
        <v>1</v>
      </c>
      <c r="AF15" s="1">
        <f t="shared" si="13"/>
        <v>6</v>
      </c>
      <c r="AG15" s="1">
        <f t="shared" si="13"/>
        <v>1</v>
      </c>
      <c r="AH15" s="1">
        <f t="shared" si="13"/>
        <v>1</v>
      </c>
      <c r="AI15" s="1">
        <f t="shared" si="13"/>
        <v>21</v>
      </c>
      <c r="AJ15" s="1">
        <f t="shared" si="13"/>
        <v>1</v>
      </c>
      <c r="AK15" s="1">
        <f t="shared" si="13"/>
        <v>3</v>
      </c>
      <c r="AL15" s="1">
        <f t="shared" si="13"/>
        <v>18</v>
      </c>
      <c r="AM15" s="1">
        <f t="shared" si="13"/>
        <v>4</v>
      </c>
      <c r="AN15" s="1">
        <f t="shared" si="13"/>
        <v>1</v>
      </c>
      <c r="AO15" s="1">
        <f t="shared" si="13"/>
        <v>30</v>
      </c>
      <c r="AP15" s="1">
        <f t="shared" si="13"/>
        <v>1</v>
      </c>
      <c r="AQ15" s="1">
        <f t="shared" si="13"/>
        <v>6</v>
      </c>
      <c r="AR15" s="1">
        <f t="shared" si="13"/>
        <v>24</v>
      </c>
      <c r="AS15" s="1">
        <f t="shared" si="13"/>
        <v>1</v>
      </c>
      <c r="AT15" s="1">
        <f t="shared" si="13"/>
        <v>1</v>
      </c>
      <c r="AU15" s="1">
        <f t="shared" si="13"/>
        <v>13</v>
      </c>
      <c r="AV15" s="1">
        <f t="shared" si="13"/>
        <v>1</v>
      </c>
      <c r="AW15" s="1">
        <f t="shared" si="13"/>
        <v>2</v>
      </c>
      <c r="AX15" s="1">
        <f t="shared" si="13"/>
        <v>5</v>
      </c>
      <c r="AY15" s="1">
        <f t="shared" si="13"/>
        <v>1</v>
      </c>
      <c r="AZ15" s="1">
        <f t="shared" si="13"/>
        <v>7</v>
      </c>
      <c r="BA15" s="1">
        <f t="shared" si="13"/>
        <v>8</v>
      </c>
      <c r="BB15" s="1">
        <f t="shared" si="13"/>
        <v>7</v>
      </c>
      <c r="BC15" s="1">
        <f t="shared" si="13"/>
        <v>1</v>
      </c>
      <c r="BD15" s="1">
        <f t="shared" si="13"/>
        <v>5</v>
      </c>
      <c r="BE15" s="1">
        <f t="shared" si="13"/>
        <v>15</v>
      </c>
      <c r="BF15" s="1">
        <f t="shared" si="13"/>
        <v>11</v>
      </c>
      <c r="BG15" s="1">
        <f t="shared" si="13"/>
        <v>14</v>
      </c>
      <c r="BH15" s="1">
        <f t="shared" si="13"/>
        <v>4</v>
      </c>
      <c r="BI15" s="1">
        <f t="shared" si="13"/>
        <v>7</v>
      </c>
      <c r="BJ15" s="1">
        <f t="shared" si="13"/>
        <v>9</v>
      </c>
      <c r="BK15" s="1">
        <f t="shared" si="13"/>
        <v>1</v>
      </c>
      <c r="BL15" s="1">
        <f t="shared" si="13"/>
        <v>1</v>
      </c>
      <c r="BM15" s="1">
        <f t="shared" si="13"/>
        <v>4</v>
      </c>
      <c r="BN15" s="1">
        <f t="shared" si="13"/>
        <v>1</v>
      </c>
      <c r="BO15" s="1">
        <f t="shared" si="13"/>
        <v>1</v>
      </c>
      <c r="BP15" s="1">
        <f t="shared" ref="BP15:EB15" si="14">SUM(BP3:BP14)</f>
        <v>14</v>
      </c>
      <c r="BQ15" s="1">
        <f t="shared" si="14"/>
        <v>1</v>
      </c>
      <c r="BR15" s="1">
        <f t="shared" si="14"/>
        <v>1</v>
      </c>
      <c r="BS15" s="1">
        <f t="shared" si="14"/>
        <v>15</v>
      </c>
      <c r="BT15" s="1">
        <f t="shared" si="14"/>
        <v>6</v>
      </c>
      <c r="BU15" s="1">
        <f t="shared" si="14"/>
        <v>1</v>
      </c>
      <c r="BV15" s="1">
        <f t="shared" si="14"/>
        <v>1</v>
      </c>
      <c r="BW15" s="1">
        <f t="shared" si="14"/>
        <v>2</v>
      </c>
      <c r="BX15" s="1">
        <f t="shared" si="14"/>
        <v>11</v>
      </c>
      <c r="BY15" s="1">
        <f t="shared" si="14"/>
        <v>2</v>
      </c>
      <c r="BZ15" s="1">
        <f t="shared" si="14"/>
        <v>2</v>
      </c>
      <c r="CA15" s="1">
        <f t="shared" si="14"/>
        <v>4</v>
      </c>
      <c r="CB15" s="1">
        <f t="shared" si="14"/>
        <v>11</v>
      </c>
      <c r="CC15" s="1">
        <f t="shared" si="14"/>
        <v>17</v>
      </c>
      <c r="CD15" s="1">
        <f t="shared" si="14"/>
        <v>5</v>
      </c>
      <c r="CE15" s="1">
        <f t="shared" si="14"/>
        <v>4</v>
      </c>
      <c r="CF15" s="1">
        <f t="shared" si="14"/>
        <v>1</v>
      </c>
      <c r="CG15" s="1">
        <f t="shared" si="14"/>
        <v>2</v>
      </c>
      <c r="CH15" s="1">
        <f t="shared" si="14"/>
        <v>8</v>
      </c>
      <c r="CI15" s="1">
        <f t="shared" si="14"/>
        <v>6</v>
      </c>
      <c r="CJ15" s="1">
        <f t="shared" si="14"/>
        <v>8</v>
      </c>
      <c r="CK15" s="1">
        <f t="shared" si="14"/>
        <v>24</v>
      </c>
      <c r="CL15" s="1">
        <f t="shared" si="14"/>
        <v>11</v>
      </c>
      <c r="CM15" s="1">
        <f t="shared" si="14"/>
        <v>12</v>
      </c>
      <c r="CN15" s="1">
        <f t="shared" si="14"/>
        <v>5</v>
      </c>
      <c r="CO15" s="1">
        <f t="shared" si="14"/>
        <v>26</v>
      </c>
      <c r="CP15" s="1">
        <f t="shared" si="14"/>
        <v>2</v>
      </c>
      <c r="CQ15" s="1">
        <f t="shared" si="14"/>
        <v>13</v>
      </c>
      <c r="CR15" s="1">
        <f t="shared" si="14"/>
        <v>9</v>
      </c>
      <c r="CS15" s="1">
        <f t="shared" si="14"/>
        <v>10</v>
      </c>
      <c r="CT15" s="1">
        <f t="shared" si="14"/>
        <v>4</v>
      </c>
      <c r="CU15" s="1">
        <f t="shared" si="14"/>
        <v>2</v>
      </c>
      <c r="CV15" s="1">
        <f t="shared" si="14"/>
        <v>2</v>
      </c>
      <c r="CW15" s="1">
        <f t="shared" si="14"/>
        <v>1</v>
      </c>
      <c r="CX15" s="1">
        <f t="shared" si="14"/>
        <v>3</v>
      </c>
      <c r="CY15" s="1">
        <f t="shared" si="14"/>
        <v>5</v>
      </c>
      <c r="CZ15" s="1">
        <f t="shared" si="14"/>
        <v>2</v>
      </c>
      <c r="DA15" s="1">
        <f t="shared" si="14"/>
        <v>9</v>
      </c>
      <c r="DB15" s="1">
        <f t="shared" si="14"/>
        <v>2</v>
      </c>
      <c r="DC15" s="1">
        <f t="shared" si="14"/>
        <v>5</v>
      </c>
      <c r="DD15" s="1">
        <f t="shared" si="14"/>
        <v>20</v>
      </c>
      <c r="DE15" s="1">
        <f t="shared" si="14"/>
        <v>40</v>
      </c>
      <c r="DF15" s="1">
        <f t="shared" si="14"/>
        <v>12</v>
      </c>
      <c r="DG15" s="1">
        <f t="shared" si="14"/>
        <v>15</v>
      </c>
      <c r="DH15" s="1">
        <f t="shared" si="14"/>
        <v>1</v>
      </c>
      <c r="DI15" s="1">
        <f t="shared" si="14"/>
        <v>5</v>
      </c>
      <c r="DJ15" s="1">
        <f t="shared" si="14"/>
        <v>1</v>
      </c>
      <c r="DK15" s="1">
        <f t="shared" si="14"/>
        <v>23</v>
      </c>
      <c r="DL15" s="5">
        <f t="shared" si="14"/>
        <v>1147.1333333333332</v>
      </c>
      <c r="DM15" s="1">
        <f t="shared" ca="1" si="14"/>
        <v>590</v>
      </c>
      <c r="DN15" s="1">
        <f t="shared" ca="1" si="14"/>
        <v>16</v>
      </c>
      <c r="DO15" s="1">
        <f t="shared" ca="1" si="14"/>
        <v>456</v>
      </c>
      <c r="DP15" s="1">
        <f t="shared" ca="1" si="14"/>
        <v>20</v>
      </c>
      <c r="DQ15" s="1">
        <f t="shared" ca="1" si="14"/>
        <v>29.133333333333333</v>
      </c>
      <c r="DR15" s="1">
        <f t="shared" ca="1" si="14"/>
        <v>15</v>
      </c>
      <c r="DS15" s="1">
        <f t="shared" ca="1" si="14"/>
        <v>15</v>
      </c>
      <c r="DT15" s="1">
        <f t="shared" si="14"/>
        <v>6</v>
      </c>
      <c r="DU15" s="15">
        <f t="shared" ca="1" si="10"/>
        <v>1147.1333333333334</v>
      </c>
      <c r="DV15" s="1">
        <f t="shared" ca="1" si="14"/>
        <v>6.30373438381082</v>
      </c>
      <c r="DW15" s="1">
        <f t="shared" ca="1" si="14"/>
        <v>0.24603481624758222</v>
      </c>
      <c r="DX15" s="1">
        <f t="shared" ca="1" si="14"/>
        <v>3.8094859707982116</v>
      </c>
      <c r="DY15" s="1">
        <f t="shared" ca="1" si="14"/>
        <v>0.89993431855500827</v>
      </c>
      <c r="DZ15" s="1">
        <f t="shared" ca="1" si="14"/>
        <v>0.14977397925470787</v>
      </c>
      <c r="EA15" s="1">
        <f t="shared" ca="1" si="14"/>
        <v>0.31914893617021278</v>
      </c>
      <c r="EB15" s="1">
        <f t="shared" si="14"/>
        <v>0.19396551724137931</v>
      </c>
      <c r="EC15" s="1">
        <f t="shared" ref="EC15:ED15" si="15">SUM(EC3:EC14)</f>
        <v>7.792207792207792E-2</v>
      </c>
      <c r="ED15" s="15">
        <f t="shared" ca="1" si="15"/>
        <v>12</v>
      </c>
      <c r="EE15"/>
      <c r="EF15"/>
    </row>
    <row r="16" spans="1:136" x14ac:dyDescent="0.2">
      <c r="D16" s="12"/>
      <c r="E16" s="12"/>
      <c r="H16" s="12"/>
      <c r="L16" s="12"/>
      <c r="M16" s="12"/>
      <c r="N16" s="12"/>
      <c r="O16" s="12"/>
      <c r="T16" s="12"/>
      <c r="X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S16" s="12"/>
      <c r="AU16" s="12"/>
      <c r="AV16" s="12"/>
      <c r="AW16" s="12"/>
      <c r="AX16" s="12"/>
      <c r="AY16" s="12"/>
      <c r="AZ16" s="12"/>
      <c r="BB16" s="12"/>
      <c r="BC16" s="12"/>
      <c r="BD16" s="12"/>
      <c r="BE16" s="12"/>
      <c r="BF16" s="12"/>
      <c r="BH16" s="12"/>
      <c r="BJ16" s="12"/>
      <c r="BL16" s="12"/>
      <c r="BM16" s="12"/>
      <c r="BN16" s="12"/>
      <c r="BO16" s="12"/>
      <c r="BP16" s="12"/>
      <c r="BQ16" s="12"/>
      <c r="BT16" s="12"/>
      <c r="BW16" s="12"/>
      <c r="CB16" s="12"/>
    </row>
    <row r="22" spans="7:8" x14ac:dyDescent="0.2">
      <c r="G22" s="12"/>
      <c r="H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0C43-9F06-D94B-A146-A7A5040EBA9C}">
  <dimension ref="A1:F8"/>
  <sheetViews>
    <sheetView workbookViewId="0">
      <selection activeCell="E2" sqref="E2"/>
    </sheetView>
  </sheetViews>
  <sheetFormatPr baseColWidth="10" defaultColWidth="10.6640625" defaultRowHeight="16" x14ac:dyDescent="0.2"/>
  <sheetData>
    <row r="1" spans="1:6" x14ac:dyDescent="0.2"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">
      <c r="A2" t="s">
        <v>9</v>
      </c>
      <c r="B2">
        <v>0</v>
      </c>
      <c r="F2">
        <v>0</v>
      </c>
    </row>
    <row r="3" spans="1:6" x14ac:dyDescent="0.2">
      <c r="A3" t="s">
        <v>10</v>
      </c>
      <c r="B3">
        <v>0</v>
      </c>
      <c r="F3">
        <v>0</v>
      </c>
    </row>
    <row r="4" spans="1:6" x14ac:dyDescent="0.2">
      <c r="A4" t="s">
        <v>1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 t="s">
        <v>2</v>
      </c>
      <c r="B5" t="s">
        <v>34</v>
      </c>
      <c r="C5">
        <v>0.05</v>
      </c>
      <c r="D5">
        <v>0.9</v>
      </c>
      <c r="E5">
        <v>0.05</v>
      </c>
      <c r="F5">
        <v>0</v>
      </c>
    </row>
    <row r="6" spans="1:6" x14ac:dyDescent="0.2">
      <c r="A6" t="s">
        <v>3</v>
      </c>
    </row>
    <row r="7" spans="1:6" x14ac:dyDescent="0.2">
      <c r="A7" t="s">
        <v>4</v>
      </c>
    </row>
    <row r="8" spans="1:6" x14ac:dyDescent="0.2">
      <c r="A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Emma-Beth Peters</dc:creator>
  <cp:lastModifiedBy>Jasper Slingsby</cp:lastModifiedBy>
  <dcterms:created xsi:type="dcterms:W3CDTF">2025-01-28T15:36:42Z</dcterms:created>
  <dcterms:modified xsi:type="dcterms:W3CDTF">2025-02-24T09:41:08Z</dcterms:modified>
</cp:coreProperties>
</file>