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dvdamy007_myuct_ac_za/Documents/Desktop/BIO3018F/Jasper/"/>
    </mc:Choice>
  </mc:AlternateContent>
  <xr:revisionPtr revIDLastSave="0" documentId="8_{8E170023-2D97-4D90-B3B0-D867001CEA0B}" xr6:coauthVersionLast="47" xr6:coauthVersionMax="47" xr10:uidLastSave="{00000000-0000-0000-0000-000000000000}"/>
  <bookViews>
    <workbookView xWindow="-120" yWindow="-120" windowWidth="20730" windowHeight="11040" xr2:uid="{D4A98C40-3B5E-45AE-BFC8-9EB14A021E27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</calcChain>
</file>

<file path=xl/sharedStrings.xml><?xml version="1.0" encoding="utf-8"?>
<sst xmlns="http://schemas.openxmlformats.org/spreadsheetml/2006/main" count="176" uniqueCount="49">
  <si>
    <t>Site</t>
  </si>
  <si>
    <t>Lattitude</t>
  </si>
  <si>
    <t>Longitude</t>
  </si>
  <si>
    <t xml:space="preserve">Sample </t>
  </si>
  <si>
    <t>Wet Mass (1)</t>
  </si>
  <si>
    <t xml:space="preserve"> Wet Mass (2)</t>
  </si>
  <si>
    <t>Wet Mass(3)</t>
  </si>
  <si>
    <t>Ave. Wet Mass</t>
  </si>
  <si>
    <t>Semi Wet Mass (1)</t>
  </si>
  <si>
    <t>Semi Wet Mass (2)</t>
  </si>
  <si>
    <t>Semi Wet Mass (3)</t>
  </si>
  <si>
    <t>Av. Semi wet mass</t>
  </si>
  <si>
    <t>Dry mass (1)</t>
  </si>
  <si>
    <t>Dry Mass (2)</t>
  </si>
  <si>
    <t>Dry mass (3)</t>
  </si>
  <si>
    <t xml:space="preserve">Dry Mass Ave. </t>
  </si>
  <si>
    <t>A1</t>
  </si>
  <si>
    <t>-34.3736111111</t>
  </si>
  <si>
    <t>20.2175</t>
  </si>
  <si>
    <t>a</t>
  </si>
  <si>
    <t>b</t>
  </si>
  <si>
    <t>c</t>
  </si>
  <si>
    <t>d</t>
  </si>
  <si>
    <t>A2</t>
  </si>
  <si>
    <t>-34.3738888889</t>
  </si>
  <si>
    <t>20.5172222222</t>
  </si>
  <si>
    <t>B</t>
  </si>
  <si>
    <t>20.5183333333</t>
  </si>
  <si>
    <t>C</t>
  </si>
  <si>
    <t>-34.3830555556</t>
  </si>
  <si>
    <t>20.5333333333</t>
  </si>
  <si>
    <t>D</t>
  </si>
  <si>
    <t>-34.3786111111</t>
  </si>
  <si>
    <t>20.5308333333</t>
  </si>
  <si>
    <t>E</t>
  </si>
  <si>
    <t>-34.3847222222</t>
  </si>
  <si>
    <t>20.5491666667</t>
  </si>
  <si>
    <t>F</t>
  </si>
  <si>
    <t>-34.4005555556</t>
  </si>
  <si>
    <t>20.5563888889</t>
  </si>
  <si>
    <t>G</t>
  </si>
  <si>
    <t>-34.4052777778</t>
  </si>
  <si>
    <t>20.5619444444</t>
  </si>
  <si>
    <t>H</t>
  </si>
  <si>
    <t>34.4147222222</t>
  </si>
  <si>
    <t>20.5730555556</t>
  </si>
  <si>
    <t>I</t>
  </si>
  <si>
    <t>34.4172222222</t>
  </si>
  <si>
    <t>20.6358333333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</si>
</sst>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B1263-AD99-4888-B6E8-67FB7EF362A9}" name="Table1" displayName="Table1" ref="A1:P41" totalsRowShown="0">
  <autoFilter ref="A1:P41" xr:uid="{90AB1263-AD99-4888-B6E8-67FB7EF362A9}"/>
  <tableColumns count="16">
    <tableColumn id="1" xr3:uid="{CED53973-05CF-4702-873D-CA9C22289B60}" name="Site"/>
    <tableColumn id="2" xr3:uid="{EF2A5905-2FA9-4239-B5F8-2D7604A81098}" name="Lattitude"/>
    <tableColumn id="3" xr3:uid="{BCA60E9A-261B-4E75-83F0-6E767F2FB1B5}" name="Longitude"/>
    <tableColumn id="4" xr3:uid="{A8AAE0A0-3C10-4EFC-A3B9-82B4285EB1AE}" name="Sample "/>
    <tableColumn id="5" xr3:uid="{FD9870D8-FF98-49EB-933C-A1DC7C9E4C02}" name="Wet Mass (1)"/>
    <tableColumn id="6" xr3:uid="{ED192EF5-AFE1-4370-8866-E3730845F209}" name=" Wet Mass (2)"/>
    <tableColumn id="7" xr3:uid="{6EF1C3EB-2C9E-4504-8F44-7A139500CFE7}" name="Wet Mass(3)"/>
    <tableColumn id="8" xr3:uid="{0C070C87-6E63-46AF-906E-849BC4170E49}" name="Ave. Wet Mass" dataDxfId="2">
      <calculatedColumnFormula>AVERAGE(Table1[[#This Row],[Wet Mass (1)]:[Wet Mass(3)]])</calculatedColumnFormula>
    </tableColumn>
    <tableColumn id="9" xr3:uid="{9C7878EB-E902-4819-B978-F18A8290B218}" name="Semi Wet Mass (1)"/>
    <tableColumn id="10" xr3:uid="{04DA6265-CA9D-4208-B6F8-2E130E2ADCBF}" name="Semi Wet Mass (2)"/>
    <tableColumn id="11" xr3:uid="{0E2F0BFF-0FE7-40BB-BB14-4CEFF49F9BC4}" name="Semi Wet Mass (3)"/>
    <tableColumn id="12" xr3:uid="{7FF1E148-42D9-48DD-884E-E77F15872FD2}" name="Av. Semi wet mass" dataDxfId="1">
      <calculatedColumnFormula>AVERAGE(Table1[[#This Row],[Semi Wet Mass (1)]:[Semi Wet Mass (3)]])</calculatedColumnFormula>
    </tableColumn>
    <tableColumn id="13" xr3:uid="{7AC7C6BE-1E6D-44E2-8882-156C89E5169B}" name="Dry mass (1)"/>
    <tableColumn id="14" xr3:uid="{BE778ABC-2BCD-4E8B-9A92-99584B9947D5}" name="Dry Mass (2)"/>
    <tableColumn id="15" xr3:uid="{DF500986-6378-4BE4-B3D6-B4F622926047}" name="Dry mass (3)"/>
    <tableColumn id="16" xr3:uid="{27142B7D-CD53-44C6-B852-5B0EBEA6C578}" name="Dry Mass Ave. " dataDxfId="0">
      <calculatedColumnFormula>AVERAGE(Table1[[#This Row],[Dry mass (1)]:[Dry mass (3)]])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4B68-E8B0-4171-9437-FE33225094B8}">
  <dimension ref="A1:P41"/>
  <sheetViews>
    <sheetView tabSelected="1" topLeftCell="E1" workbookViewId="0">
      <selection activeCell="Q1" sqref="Q1"/>
    </sheetView>
  </sheetViews>
  <sheetFormatPr defaultRowHeight="15"/>
  <cols>
    <col min="2" max="2" width="17" customWidth="1"/>
    <col min="3" max="3" width="18.7109375" customWidth="1"/>
    <col min="4" max="4" width="10.140625" customWidth="1"/>
    <col min="5" max="5" width="14.42578125" customWidth="1"/>
    <col min="6" max="6" width="14.85546875" customWidth="1"/>
    <col min="7" max="7" width="14" customWidth="1"/>
    <col min="8" max="8" width="12.85546875" customWidth="1"/>
    <col min="9" max="11" width="19.140625" customWidth="1"/>
    <col min="12" max="12" width="17.85546875" customWidth="1"/>
    <col min="13" max="13" width="14.140625" customWidth="1"/>
    <col min="14" max="14" width="14" customWidth="1"/>
    <col min="15" max="15" width="14.140625" customWidth="1"/>
    <col min="16" max="16" width="15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278.72000000000003</v>
      </c>
      <c r="F2">
        <v>278.72000000000003</v>
      </c>
      <c r="G2">
        <v>278.7</v>
      </c>
      <c r="H2">
        <f>AVERAGE(Table1[[#This Row],[Wet Mass (1)]:[Wet Mass(3)]])</f>
        <v>278.71333333333337</v>
      </c>
      <c r="I2">
        <v>242.18</v>
      </c>
      <c r="J2">
        <v>242.19</v>
      </c>
      <c r="K2">
        <v>242.19</v>
      </c>
      <c r="L2">
        <f>AVERAGE(Table1[[#This Row],[Semi Wet Mass (1)]:[Semi Wet Mass (3)]])</f>
        <v>242.18666666666664</v>
      </c>
      <c r="M2">
        <v>238.14</v>
      </c>
      <c r="N2">
        <v>238.14</v>
      </c>
      <c r="O2">
        <v>238.16</v>
      </c>
      <c r="P2">
        <f>AVERAGE(Table1[[#This Row],[Dry mass (1)]:[Dry mass (3)]])</f>
        <v>238.14666666666665</v>
      </c>
    </row>
    <row r="3" spans="1:16">
      <c r="A3" t="s">
        <v>16</v>
      </c>
      <c r="B3" t="s">
        <v>17</v>
      </c>
      <c r="C3" t="s">
        <v>18</v>
      </c>
      <c r="D3" t="s">
        <v>20</v>
      </c>
      <c r="E3">
        <v>217.81</v>
      </c>
      <c r="F3">
        <v>217.82</v>
      </c>
      <c r="G3">
        <v>217.82</v>
      </c>
      <c r="H3">
        <f>AVERAGE(Table1[[#This Row],[Wet Mass (1)]:[Wet Mass(3)]])</f>
        <v>217.81666666666669</v>
      </c>
      <c r="I3">
        <v>198.81</v>
      </c>
      <c r="J3">
        <v>198.8</v>
      </c>
      <c r="K3">
        <v>198.79</v>
      </c>
      <c r="L3">
        <f>AVERAGE(Table1[[#This Row],[Semi Wet Mass (1)]:[Semi Wet Mass (3)]])</f>
        <v>198.79999999999998</v>
      </c>
      <c r="M3">
        <v>196.62</v>
      </c>
      <c r="N3">
        <v>196.62</v>
      </c>
      <c r="O3">
        <v>196.57</v>
      </c>
      <c r="P3">
        <f>AVERAGE(Table1[[#This Row],[Dry mass (1)]:[Dry mass (3)]])</f>
        <v>196.60333333333332</v>
      </c>
    </row>
    <row r="4" spans="1:16">
      <c r="A4" t="s">
        <v>16</v>
      </c>
      <c r="B4" t="s">
        <v>17</v>
      </c>
      <c r="C4" t="s">
        <v>18</v>
      </c>
      <c r="D4" t="s">
        <v>21</v>
      </c>
      <c r="E4">
        <v>258.74</v>
      </c>
      <c r="F4">
        <v>258.73</v>
      </c>
      <c r="G4">
        <v>258.74</v>
      </c>
      <c r="H4">
        <f>AVERAGE(Table1[[#This Row],[Wet Mass (1)]:[Wet Mass(3)]])</f>
        <v>258.73666666666668</v>
      </c>
      <c r="I4">
        <v>232.01</v>
      </c>
      <c r="J4">
        <v>231.99</v>
      </c>
      <c r="K4">
        <v>232.01</v>
      </c>
      <c r="L4">
        <f>AVERAGE(Table1[[#This Row],[Semi Wet Mass (1)]:[Semi Wet Mass (3)]])</f>
        <v>232.00333333333333</v>
      </c>
      <c r="M4">
        <v>229.3</v>
      </c>
      <c r="N4">
        <v>229.32</v>
      </c>
      <c r="O4">
        <v>229.33</v>
      </c>
      <c r="P4">
        <f>AVERAGE(Table1[[#This Row],[Dry mass (1)]:[Dry mass (3)]])</f>
        <v>229.31666666666669</v>
      </c>
    </row>
    <row r="5" spans="1:16">
      <c r="A5" t="s">
        <v>16</v>
      </c>
      <c r="B5" t="s">
        <v>17</v>
      </c>
      <c r="C5" t="s">
        <v>18</v>
      </c>
      <c r="D5" t="s">
        <v>22</v>
      </c>
      <c r="E5">
        <v>313.7</v>
      </c>
      <c r="F5">
        <v>313.7</v>
      </c>
      <c r="G5">
        <v>313.69</v>
      </c>
      <c r="H5">
        <f>AVERAGE(Table1[[#This Row],[Wet Mass (1)]:[Wet Mass(3)]])</f>
        <v>313.69666666666666</v>
      </c>
      <c r="I5">
        <v>290.38</v>
      </c>
      <c r="J5">
        <v>290.38</v>
      </c>
      <c r="K5">
        <v>290.38</v>
      </c>
      <c r="L5">
        <f>AVERAGE(Table1[[#This Row],[Semi Wet Mass (1)]:[Semi Wet Mass (3)]])</f>
        <v>290.38</v>
      </c>
      <c r="M5">
        <v>286.94</v>
      </c>
      <c r="N5">
        <v>286.94</v>
      </c>
      <c r="O5">
        <v>286.95</v>
      </c>
      <c r="P5">
        <f>AVERAGE(Table1[[#This Row],[Dry mass (1)]:[Dry mass (3)]])</f>
        <v>286.94333333333333</v>
      </c>
    </row>
    <row r="6" spans="1:16">
      <c r="A6" t="s">
        <v>23</v>
      </c>
      <c r="B6" t="s">
        <v>24</v>
      </c>
      <c r="C6" t="s">
        <v>25</v>
      </c>
      <c r="D6" t="s">
        <v>19</v>
      </c>
      <c r="E6">
        <v>251.08</v>
      </c>
      <c r="F6">
        <v>251.08</v>
      </c>
      <c r="G6">
        <v>251.09</v>
      </c>
      <c r="H6">
        <f>AVERAGE(Table1[[#This Row],[Wet Mass (1)]:[Wet Mass(3)]])</f>
        <v>251.08333333333334</v>
      </c>
      <c r="I6">
        <v>218.08</v>
      </c>
      <c r="J6">
        <v>218.07</v>
      </c>
      <c r="K6">
        <v>218.09</v>
      </c>
      <c r="L6">
        <f>AVERAGE(Table1[[#This Row],[Semi Wet Mass (1)]:[Semi Wet Mass (3)]])</f>
        <v>218.08</v>
      </c>
      <c r="M6">
        <v>215.04</v>
      </c>
      <c r="N6">
        <v>215.06</v>
      </c>
      <c r="O6">
        <v>215.05</v>
      </c>
      <c r="P6">
        <f>AVERAGE(Table1[[#This Row],[Dry mass (1)]:[Dry mass (3)]])</f>
        <v>215.05000000000004</v>
      </c>
    </row>
    <row r="7" spans="1:16">
      <c r="A7" t="s">
        <v>23</v>
      </c>
      <c r="B7" t="s">
        <v>24</v>
      </c>
      <c r="C7" t="s">
        <v>25</v>
      </c>
      <c r="D7" t="s">
        <v>20</v>
      </c>
      <c r="E7">
        <v>300.45999999999998</v>
      </c>
      <c r="F7">
        <v>302.23</v>
      </c>
      <c r="G7">
        <v>302.20999999999998</v>
      </c>
      <c r="H7">
        <f>AVERAGE(Table1[[#This Row],[Wet Mass (1)]:[Wet Mass(3)]])</f>
        <v>301.63333333333338</v>
      </c>
      <c r="I7">
        <v>266.13</v>
      </c>
      <c r="J7">
        <v>266.14999999999998</v>
      </c>
      <c r="K7">
        <v>266.13</v>
      </c>
      <c r="L7">
        <f>AVERAGE(Table1[[#This Row],[Semi Wet Mass (1)]:[Semi Wet Mass (3)]])</f>
        <v>266.13666666666666</v>
      </c>
      <c r="M7">
        <v>262.01</v>
      </c>
      <c r="N7">
        <v>262.01</v>
      </c>
      <c r="O7">
        <v>262.02</v>
      </c>
      <c r="P7">
        <f>AVERAGE(Table1[[#This Row],[Dry mass (1)]:[Dry mass (3)]])</f>
        <v>262.01333333333332</v>
      </c>
    </row>
    <row r="8" spans="1:16">
      <c r="A8" t="s">
        <v>23</v>
      </c>
      <c r="B8" t="s">
        <v>24</v>
      </c>
      <c r="C8" t="s">
        <v>25</v>
      </c>
      <c r="D8" t="s">
        <v>21</v>
      </c>
      <c r="E8">
        <v>262.93</v>
      </c>
      <c r="F8">
        <v>262.94</v>
      </c>
      <c r="G8">
        <v>262.93</v>
      </c>
      <c r="H8">
        <f>AVERAGE(Table1[[#This Row],[Wet Mass (1)]:[Wet Mass(3)]])</f>
        <v>262.93333333333334</v>
      </c>
      <c r="I8">
        <v>234.55</v>
      </c>
      <c r="J8">
        <v>233.46</v>
      </c>
      <c r="K8">
        <v>233.46</v>
      </c>
      <c r="L8">
        <f>AVERAGE(Table1[[#This Row],[Semi Wet Mass (1)]:[Semi Wet Mass (3)]])</f>
        <v>233.82333333333335</v>
      </c>
      <c r="M8">
        <v>230.19</v>
      </c>
      <c r="N8">
        <v>230.19</v>
      </c>
      <c r="O8">
        <v>230.17</v>
      </c>
      <c r="P8">
        <f>AVERAGE(Table1[[#This Row],[Dry mass (1)]:[Dry mass (3)]])</f>
        <v>230.18333333333331</v>
      </c>
    </row>
    <row r="9" spans="1:16">
      <c r="A9" t="s">
        <v>23</v>
      </c>
      <c r="B9" t="s">
        <v>24</v>
      </c>
      <c r="C9" t="s">
        <v>25</v>
      </c>
      <c r="D9" t="s">
        <v>22</v>
      </c>
      <c r="E9">
        <v>366.96</v>
      </c>
      <c r="F9">
        <v>366.93</v>
      </c>
      <c r="G9">
        <v>366.64</v>
      </c>
      <c r="H9">
        <f>AVERAGE(Table1[[#This Row],[Wet Mass (1)]:[Wet Mass(3)]])</f>
        <v>366.84333333333331</v>
      </c>
      <c r="I9">
        <v>337.74</v>
      </c>
      <c r="J9">
        <v>337.73</v>
      </c>
      <c r="K9">
        <v>377.72</v>
      </c>
      <c r="L9">
        <f>AVERAGE(Table1[[#This Row],[Semi Wet Mass (1)]:[Semi Wet Mass (3)]])</f>
        <v>351.06333333333333</v>
      </c>
      <c r="M9" s="1">
        <v>332.69</v>
      </c>
      <c r="N9" s="1">
        <v>332.68</v>
      </c>
      <c r="O9" s="1">
        <v>332.67</v>
      </c>
      <c r="P9">
        <f>AVERAGE(Table1[[#This Row],[Dry mass (1)]:[Dry mass (3)]])</f>
        <v>332.68</v>
      </c>
    </row>
    <row r="10" spans="1:16">
      <c r="A10" t="s">
        <v>26</v>
      </c>
      <c r="B10" t="s">
        <v>24</v>
      </c>
      <c r="C10" t="s">
        <v>27</v>
      </c>
      <c r="D10" t="s">
        <v>19</v>
      </c>
      <c r="E10">
        <v>383.71</v>
      </c>
      <c r="F10">
        <v>382.04</v>
      </c>
      <c r="G10">
        <v>383.1</v>
      </c>
      <c r="H10">
        <f>AVERAGE(Table1[[#This Row],[Wet Mass (1)]:[Wet Mass(3)]])</f>
        <v>382.95</v>
      </c>
      <c r="I10">
        <v>324.3</v>
      </c>
      <c r="J10">
        <v>324.32</v>
      </c>
      <c r="K10">
        <v>324.33</v>
      </c>
      <c r="L10">
        <f>AVERAGE(Table1[[#This Row],[Semi Wet Mass (1)]:[Semi Wet Mass (3)]])</f>
        <v>324.31666666666666</v>
      </c>
      <c r="M10">
        <v>304.08999999999997</v>
      </c>
      <c r="N10">
        <v>304.08999999999997</v>
      </c>
      <c r="O10">
        <v>304.10000000000002</v>
      </c>
      <c r="P10">
        <f>AVERAGE(Table1[[#This Row],[Dry mass (1)]:[Dry mass (3)]])</f>
        <v>304.09333333333331</v>
      </c>
    </row>
    <row r="11" spans="1:16">
      <c r="A11" t="s">
        <v>26</v>
      </c>
      <c r="B11" t="s">
        <v>24</v>
      </c>
      <c r="C11" t="s">
        <v>27</v>
      </c>
      <c r="D11" t="s">
        <v>20</v>
      </c>
      <c r="E11">
        <v>282.54000000000002</v>
      </c>
      <c r="F11">
        <v>282.54000000000002</v>
      </c>
      <c r="G11">
        <v>282.54000000000002</v>
      </c>
      <c r="H11">
        <f>AVERAGE(Table1[[#This Row],[Wet Mass (1)]:[Wet Mass(3)]])</f>
        <v>282.54000000000002</v>
      </c>
      <c r="I11">
        <v>246.15</v>
      </c>
      <c r="J11">
        <v>246.13</v>
      </c>
      <c r="K11">
        <v>246.14</v>
      </c>
      <c r="L11">
        <f>AVERAGE(Table1[[#This Row],[Semi Wet Mass (1)]:[Semi Wet Mass (3)]])</f>
        <v>246.14</v>
      </c>
      <c r="M11">
        <v>236.1</v>
      </c>
      <c r="N11">
        <v>236.12</v>
      </c>
      <c r="O11">
        <v>234.1</v>
      </c>
      <c r="P11">
        <f>AVERAGE(Table1[[#This Row],[Dry mass (1)]:[Dry mass (3)]])</f>
        <v>235.44000000000003</v>
      </c>
    </row>
    <row r="12" spans="1:16">
      <c r="A12" t="s">
        <v>26</v>
      </c>
      <c r="B12" t="s">
        <v>24</v>
      </c>
      <c r="C12" t="s">
        <v>27</v>
      </c>
      <c r="D12" t="s">
        <v>21</v>
      </c>
      <c r="E12">
        <v>239.03</v>
      </c>
      <c r="F12">
        <v>239.02</v>
      </c>
      <c r="G12">
        <v>239.02</v>
      </c>
      <c r="H12">
        <f>AVERAGE(Table1[[#This Row],[Wet Mass (1)]:[Wet Mass(3)]])</f>
        <v>239.02333333333334</v>
      </c>
      <c r="I12">
        <v>208.41</v>
      </c>
      <c r="J12">
        <v>208.39</v>
      </c>
      <c r="K12">
        <v>208.37</v>
      </c>
      <c r="L12">
        <f>AVERAGE(Table1[[#This Row],[Semi Wet Mass (1)]:[Semi Wet Mass (3)]])</f>
        <v>208.39</v>
      </c>
      <c r="M12">
        <v>197.08</v>
      </c>
      <c r="N12">
        <v>197.09</v>
      </c>
      <c r="O12">
        <v>197.1</v>
      </c>
      <c r="P12">
        <f>AVERAGE(Table1[[#This Row],[Dry mass (1)]:[Dry mass (3)]])</f>
        <v>197.09</v>
      </c>
    </row>
    <row r="13" spans="1:16">
      <c r="A13" t="s">
        <v>26</v>
      </c>
      <c r="B13" t="s">
        <v>24</v>
      </c>
      <c r="C13" t="s">
        <v>27</v>
      </c>
      <c r="D13" t="s">
        <v>22</v>
      </c>
      <c r="E13">
        <v>372.7</v>
      </c>
      <c r="F13">
        <v>372.71</v>
      </c>
      <c r="G13">
        <v>372.71</v>
      </c>
      <c r="H13">
        <f>AVERAGE(Table1[[#This Row],[Wet Mass (1)]:[Wet Mass(3)]])</f>
        <v>372.70666666666665</v>
      </c>
      <c r="I13">
        <v>320.42</v>
      </c>
      <c r="J13">
        <v>320.44</v>
      </c>
      <c r="K13">
        <v>320.44</v>
      </c>
      <c r="L13">
        <f>AVERAGE(Table1[[#This Row],[Semi Wet Mass (1)]:[Semi Wet Mass (3)]])</f>
        <v>320.43333333333334</v>
      </c>
      <c r="M13">
        <v>302.54000000000002</v>
      </c>
      <c r="N13">
        <v>302.56</v>
      </c>
      <c r="O13">
        <v>302.55</v>
      </c>
      <c r="P13">
        <f>AVERAGE(Table1[[#This Row],[Dry mass (1)]:[Dry mass (3)]])</f>
        <v>302.55</v>
      </c>
    </row>
    <row r="14" spans="1:16">
      <c r="A14" t="s">
        <v>28</v>
      </c>
      <c r="B14" t="s">
        <v>29</v>
      </c>
      <c r="C14" t="s">
        <v>30</v>
      </c>
      <c r="D14" t="s">
        <v>19</v>
      </c>
      <c r="E14" s="2"/>
      <c r="F14" s="2"/>
      <c r="G14" s="2"/>
      <c r="H14" s="2" t="e">
        <f>AVERAGE(Table1[[#This Row],[Wet Mass (1)]:[Wet Mass(3)]])</f>
        <v>#DIV/0!</v>
      </c>
      <c r="I14">
        <v>102.53</v>
      </c>
      <c r="J14">
        <v>102.54</v>
      </c>
      <c r="K14">
        <v>102.54</v>
      </c>
      <c r="L14">
        <f>AVERAGE(Table1[[#This Row],[Semi Wet Mass (1)]:[Semi Wet Mass (3)]])</f>
        <v>102.53666666666668</v>
      </c>
      <c r="M14">
        <v>101</v>
      </c>
      <c r="N14">
        <v>101</v>
      </c>
      <c r="O14">
        <v>101.01</v>
      </c>
      <c r="P14">
        <f>AVERAGE(Table1[[#This Row],[Dry mass (1)]:[Dry mass (3)]])</f>
        <v>101.00333333333333</v>
      </c>
    </row>
    <row r="15" spans="1:16">
      <c r="A15" t="s">
        <v>28</v>
      </c>
      <c r="B15" t="s">
        <v>29</v>
      </c>
      <c r="C15" t="s">
        <v>30</v>
      </c>
      <c r="D15" t="s">
        <v>20</v>
      </c>
      <c r="E15" s="2"/>
      <c r="F15" s="2"/>
      <c r="G15" s="2"/>
      <c r="H15" s="2" t="e">
        <f>AVERAGE(Table1[[#This Row],[Wet Mass (1)]:[Wet Mass(3)]])</f>
        <v>#DIV/0!</v>
      </c>
      <c r="I15">
        <v>191.62</v>
      </c>
      <c r="J15">
        <v>191.61</v>
      </c>
      <c r="K15">
        <v>191.59</v>
      </c>
      <c r="L15">
        <f>AVERAGE(Table1[[#This Row],[Semi Wet Mass (1)]:[Semi Wet Mass (3)]])</f>
        <v>191.60666666666668</v>
      </c>
      <c r="M15">
        <v>189.65</v>
      </c>
      <c r="N15">
        <v>189.66</v>
      </c>
      <c r="O15">
        <v>189.66</v>
      </c>
      <c r="P15">
        <f>AVERAGE(Table1[[#This Row],[Dry mass (1)]:[Dry mass (3)]])</f>
        <v>189.65666666666667</v>
      </c>
    </row>
    <row r="16" spans="1:16">
      <c r="A16" t="s">
        <v>28</v>
      </c>
      <c r="B16" t="s">
        <v>29</v>
      </c>
      <c r="C16" t="s">
        <v>30</v>
      </c>
      <c r="D16" t="s">
        <v>21</v>
      </c>
      <c r="E16" s="2"/>
      <c r="F16" s="2"/>
      <c r="G16" s="2"/>
      <c r="H16" s="2" t="e">
        <f>AVERAGE(Table1[[#This Row],[Wet Mass (1)]:[Wet Mass(3)]])</f>
        <v>#DIV/0!</v>
      </c>
      <c r="I16">
        <v>179.92</v>
      </c>
      <c r="J16">
        <v>179.91</v>
      </c>
      <c r="K16">
        <v>179.92</v>
      </c>
      <c r="L16">
        <f>AVERAGE(Table1[[#This Row],[Semi Wet Mass (1)]:[Semi Wet Mass (3)]])</f>
        <v>179.91666666666666</v>
      </c>
      <c r="M16" s="1">
        <v>176.71</v>
      </c>
      <c r="N16" s="1">
        <v>176.63</v>
      </c>
      <c r="O16" s="1">
        <v>176.43</v>
      </c>
      <c r="P16">
        <f>AVERAGE(Table1[[#This Row],[Dry mass (1)]:[Dry mass (3)]])</f>
        <v>176.59</v>
      </c>
    </row>
    <row r="17" spans="1:16">
      <c r="A17" t="s">
        <v>28</v>
      </c>
      <c r="B17" t="s">
        <v>29</v>
      </c>
      <c r="C17" t="s">
        <v>30</v>
      </c>
      <c r="D17" t="s">
        <v>22</v>
      </c>
      <c r="E17" s="2"/>
      <c r="F17" s="2"/>
      <c r="G17" s="2"/>
      <c r="H17" s="2" t="e">
        <f>AVERAGE(Table1[[#This Row],[Wet Mass (1)]:[Wet Mass(3)]])</f>
        <v>#DIV/0!</v>
      </c>
      <c r="I17">
        <v>80.290000000000006</v>
      </c>
      <c r="J17">
        <v>80.22</v>
      </c>
      <c r="K17">
        <v>80.209999999999994</v>
      </c>
      <c r="L17">
        <f>AVERAGE(Table1[[#This Row],[Semi Wet Mass (1)]:[Semi Wet Mass (3)]])</f>
        <v>80.239999999999995</v>
      </c>
      <c r="M17" s="1">
        <v>79.28</v>
      </c>
      <c r="N17" s="1">
        <v>79.290000000000006</v>
      </c>
      <c r="O17" s="1">
        <v>79.28</v>
      </c>
      <c r="P17">
        <f>AVERAGE(Table1[[#This Row],[Dry mass (1)]:[Dry mass (3)]])</f>
        <v>79.283333333333331</v>
      </c>
    </row>
    <row r="18" spans="1:16">
      <c r="A18" t="s">
        <v>31</v>
      </c>
      <c r="B18" t="s">
        <v>32</v>
      </c>
      <c r="C18" t="s">
        <v>33</v>
      </c>
      <c r="D18" t="s">
        <v>19</v>
      </c>
      <c r="E18">
        <v>205.78</v>
      </c>
      <c r="F18">
        <v>205.76</v>
      </c>
      <c r="G18">
        <v>205.77</v>
      </c>
      <c r="H18">
        <f>AVERAGE(Table1[[#This Row],[Wet Mass (1)]:[Wet Mass(3)]])</f>
        <v>205.76999999999998</v>
      </c>
      <c r="I18">
        <v>189.96</v>
      </c>
      <c r="J18">
        <v>189.98</v>
      </c>
      <c r="K18">
        <v>189.95</v>
      </c>
      <c r="L18">
        <f>AVERAGE(Table1[[#This Row],[Semi Wet Mass (1)]:[Semi Wet Mass (3)]])</f>
        <v>189.96333333333334</v>
      </c>
      <c r="M18">
        <v>187.89</v>
      </c>
      <c r="N18">
        <v>187.92</v>
      </c>
      <c r="O18">
        <v>187.91</v>
      </c>
      <c r="P18">
        <f>AVERAGE(Table1[[#This Row],[Dry mass (1)]:[Dry mass (3)]])</f>
        <v>187.90666666666664</v>
      </c>
    </row>
    <row r="19" spans="1:16">
      <c r="A19" t="s">
        <v>31</v>
      </c>
      <c r="B19" t="s">
        <v>32</v>
      </c>
      <c r="C19" t="s">
        <v>33</v>
      </c>
      <c r="D19" t="s">
        <v>20</v>
      </c>
      <c r="E19">
        <v>210.86</v>
      </c>
      <c r="F19">
        <v>202.08</v>
      </c>
      <c r="G19">
        <v>213.66</v>
      </c>
      <c r="H19">
        <f>AVERAGE(Table1[[#This Row],[Wet Mass (1)]:[Wet Mass(3)]])</f>
        <v>208.86666666666667</v>
      </c>
      <c r="I19">
        <v>188.15</v>
      </c>
      <c r="J19">
        <v>188.13</v>
      </c>
      <c r="K19">
        <v>188.11</v>
      </c>
      <c r="L19">
        <f>AVERAGE(Table1[[#This Row],[Semi Wet Mass (1)]:[Semi Wet Mass (3)]])</f>
        <v>188.13</v>
      </c>
      <c r="M19">
        <v>185.2</v>
      </c>
      <c r="N19">
        <v>185.21</v>
      </c>
      <c r="O19">
        <v>185.21</v>
      </c>
      <c r="P19">
        <f>AVERAGE(Table1[[#This Row],[Dry mass (1)]:[Dry mass (3)]])</f>
        <v>185.20666666666668</v>
      </c>
    </row>
    <row r="20" spans="1:16">
      <c r="A20" t="s">
        <v>31</v>
      </c>
      <c r="B20" t="s">
        <v>32</v>
      </c>
      <c r="C20" t="s">
        <v>33</v>
      </c>
      <c r="D20" t="s">
        <v>21</v>
      </c>
      <c r="E20">
        <v>228.04</v>
      </c>
      <c r="F20">
        <v>211.04</v>
      </c>
      <c r="G20">
        <v>233.06</v>
      </c>
      <c r="H20">
        <f>AVERAGE(Table1[[#This Row],[Wet Mass (1)]:[Wet Mass(3)]])</f>
        <v>224.04666666666665</v>
      </c>
      <c r="I20">
        <v>227.04</v>
      </c>
      <c r="J20">
        <v>227.04</v>
      </c>
      <c r="K20">
        <v>227.04</v>
      </c>
      <c r="L20">
        <f>AVERAGE(Table1[[#This Row],[Semi Wet Mass (1)]:[Semi Wet Mass (3)]])</f>
        <v>227.04</v>
      </c>
      <c r="M20">
        <v>224.18</v>
      </c>
      <c r="N20">
        <v>224.18</v>
      </c>
      <c r="O20">
        <v>224.19</v>
      </c>
      <c r="P20">
        <f>AVERAGE(Table1[[#This Row],[Dry mass (1)]:[Dry mass (3)]])</f>
        <v>224.18333333333331</v>
      </c>
    </row>
    <row r="21" spans="1:16">
      <c r="A21" t="s">
        <v>31</v>
      </c>
      <c r="B21" t="s">
        <v>32</v>
      </c>
      <c r="C21" t="s">
        <v>33</v>
      </c>
      <c r="D21" t="s">
        <v>22</v>
      </c>
      <c r="E21">
        <v>254.04</v>
      </c>
      <c r="F21">
        <v>242.9</v>
      </c>
      <c r="G21">
        <v>253.88</v>
      </c>
      <c r="H21">
        <f>AVERAGE(Table1[[#This Row],[Wet Mass (1)]:[Wet Mass(3)]])</f>
        <v>250.27333333333331</v>
      </c>
      <c r="I21">
        <v>226.39</v>
      </c>
      <c r="J21">
        <v>226.4</v>
      </c>
      <c r="K21">
        <v>226.39</v>
      </c>
      <c r="L21">
        <f>AVERAGE(Table1[[#This Row],[Semi Wet Mass (1)]:[Semi Wet Mass (3)]])</f>
        <v>226.39333333333332</v>
      </c>
      <c r="M21">
        <v>241.17</v>
      </c>
      <c r="N21">
        <v>241.17</v>
      </c>
      <c r="O21">
        <v>241.19</v>
      </c>
      <c r="P21">
        <f>AVERAGE(Table1[[#This Row],[Dry mass (1)]:[Dry mass (3)]])</f>
        <v>241.17666666666665</v>
      </c>
    </row>
    <row r="22" spans="1:16">
      <c r="A22" t="s">
        <v>34</v>
      </c>
      <c r="B22" t="s">
        <v>35</v>
      </c>
      <c r="C22" t="s">
        <v>36</v>
      </c>
      <c r="D22" t="s">
        <v>19</v>
      </c>
      <c r="E22">
        <v>111.7</v>
      </c>
      <c r="F22">
        <v>111.69</v>
      </c>
      <c r="G22">
        <v>111.68</v>
      </c>
      <c r="H22">
        <f>AVERAGE(Table1[[#This Row],[Wet Mass (1)]:[Wet Mass(3)]])</f>
        <v>111.69</v>
      </c>
      <c r="I22">
        <v>73.27</v>
      </c>
      <c r="J22">
        <v>73.28</v>
      </c>
      <c r="K22">
        <v>73.260000000000005</v>
      </c>
      <c r="L22">
        <f>AVERAGE(Table1[[#This Row],[Semi Wet Mass (1)]:[Semi Wet Mass (3)]])</f>
        <v>73.27</v>
      </c>
      <c r="M22">
        <v>65.430000000000007</v>
      </c>
      <c r="N22">
        <v>65.44</v>
      </c>
      <c r="O22">
        <v>65.45</v>
      </c>
      <c r="P22">
        <f>AVERAGE(Table1[[#This Row],[Dry mass (1)]:[Dry mass (3)]])</f>
        <v>65.44</v>
      </c>
    </row>
    <row r="23" spans="1:16">
      <c r="A23" t="s">
        <v>34</v>
      </c>
      <c r="B23" t="s">
        <v>35</v>
      </c>
      <c r="C23" t="s">
        <v>36</v>
      </c>
      <c r="D23" t="s">
        <v>20</v>
      </c>
      <c r="E23">
        <v>104.22</v>
      </c>
      <c r="F23">
        <v>104.38</v>
      </c>
      <c r="G23">
        <v>104.26</v>
      </c>
      <c r="H23">
        <f>AVERAGE(Table1[[#This Row],[Wet Mass (1)]:[Wet Mass(3)]])</f>
        <v>104.28666666666668</v>
      </c>
      <c r="I23">
        <v>88.79</v>
      </c>
      <c r="J23">
        <v>88.78</v>
      </c>
      <c r="K23">
        <v>88.79</v>
      </c>
      <c r="L23">
        <f>AVERAGE(Table1[[#This Row],[Semi Wet Mass (1)]:[Semi Wet Mass (3)]])</f>
        <v>88.786666666666676</v>
      </c>
      <c r="M23">
        <v>84.65</v>
      </c>
      <c r="N23">
        <v>84.66</v>
      </c>
      <c r="O23">
        <v>84.66</v>
      </c>
      <c r="P23">
        <f>AVERAGE(Table1[[#This Row],[Dry mass (1)]:[Dry mass (3)]])</f>
        <v>84.656666666666666</v>
      </c>
    </row>
    <row r="24" spans="1:16">
      <c r="A24" t="s">
        <v>34</v>
      </c>
      <c r="B24" t="s">
        <v>35</v>
      </c>
      <c r="C24" t="s">
        <v>36</v>
      </c>
      <c r="D24" t="s">
        <v>21</v>
      </c>
      <c r="E24">
        <v>153.82</v>
      </c>
      <c r="F24">
        <v>153.81</v>
      </c>
      <c r="G24">
        <v>153.78</v>
      </c>
      <c r="H24">
        <f>AVERAGE(Table1[[#This Row],[Wet Mass (1)]:[Wet Mass(3)]])</f>
        <v>153.80333333333331</v>
      </c>
      <c r="I24">
        <v>127.3</v>
      </c>
      <c r="J24">
        <v>127.29</v>
      </c>
      <c r="K24">
        <v>12729</v>
      </c>
      <c r="L24">
        <f>AVERAGE(Table1[[#This Row],[Semi Wet Mass (1)]:[Semi Wet Mass (3)]])</f>
        <v>4327.8633333333337</v>
      </c>
      <c r="M24">
        <v>123.2</v>
      </c>
      <c r="N24">
        <v>123.21</v>
      </c>
      <c r="O24">
        <v>123.21</v>
      </c>
      <c r="P24">
        <f>AVERAGE(Table1[[#This Row],[Dry mass (1)]:[Dry mass (3)]])</f>
        <v>123.20666666666666</v>
      </c>
    </row>
    <row r="25" spans="1:16">
      <c r="A25" t="s">
        <v>34</v>
      </c>
      <c r="B25" t="s">
        <v>35</v>
      </c>
      <c r="C25" t="s">
        <v>36</v>
      </c>
      <c r="D25" t="s">
        <v>22</v>
      </c>
      <c r="E25">
        <v>158.49</v>
      </c>
      <c r="F25">
        <v>158.47999999999999</v>
      </c>
      <c r="G25">
        <v>155.49</v>
      </c>
      <c r="H25">
        <f>AVERAGE(Table1[[#This Row],[Wet Mass (1)]:[Wet Mass(3)]])</f>
        <v>157.48666666666668</v>
      </c>
      <c r="I25">
        <v>133.13</v>
      </c>
      <c r="J25">
        <v>133.15</v>
      </c>
      <c r="K25">
        <v>133.15</v>
      </c>
      <c r="L25">
        <f>AVERAGE(Table1[[#This Row],[Semi Wet Mass (1)]:[Semi Wet Mass (3)]])</f>
        <v>133.14333333333332</v>
      </c>
      <c r="M25">
        <v>125.04</v>
      </c>
      <c r="N25">
        <v>125.04</v>
      </c>
      <c r="O25">
        <v>125.04</v>
      </c>
      <c r="P25">
        <f>AVERAGE(Table1[[#This Row],[Dry mass (1)]:[Dry mass (3)]])</f>
        <v>125.04</v>
      </c>
    </row>
    <row r="26" spans="1:16">
      <c r="A26" t="s">
        <v>37</v>
      </c>
      <c r="B26" t="s">
        <v>38</v>
      </c>
      <c r="C26" t="s">
        <v>39</v>
      </c>
      <c r="D26" t="s">
        <v>19</v>
      </c>
      <c r="E26">
        <v>217.82</v>
      </c>
      <c r="F26">
        <v>225.68</v>
      </c>
      <c r="G26">
        <v>225.69</v>
      </c>
      <c r="H26">
        <f>AVERAGE(Table1[[#This Row],[Wet Mass (1)]:[Wet Mass(3)]])</f>
        <v>223.06333333333336</v>
      </c>
      <c r="I26">
        <v>217.34</v>
      </c>
      <c r="J26">
        <v>217.33</v>
      </c>
      <c r="K26">
        <v>217.33</v>
      </c>
      <c r="L26">
        <f>AVERAGE(Table1[[#This Row],[Semi Wet Mass (1)]:[Semi Wet Mass (3)]])</f>
        <v>217.33333333333334</v>
      </c>
      <c r="M26">
        <v>213.11</v>
      </c>
      <c r="N26">
        <v>212.99</v>
      </c>
      <c r="O26">
        <v>213</v>
      </c>
      <c r="P26">
        <f>AVERAGE(Table1[[#This Row],[Dry mass (1)]:[Dry mass (3)]])</f>
        <v>213.03333333333333</v>
      </c>
    </row>
    <row r="27" spans="1:16">
      <c r="A27" t="s">
        <v>37</v>
      </c>
      <c r="B27" t="s">
        <v>38</v>
      </c>
      <c r="C27" t="s">
        <v>39</v>
      </c>
      <c r="D27" t="s">
        <v>20</v>
      </c>
      <c r="E27">
        <v>222.75</v>
      </c>
      <c r="F27">
        <v>222.74</v>
      </c>
      <c r="G27">
        <v>222.73</v>
      </c>
      <c r="H27">
        <f>AVERAGE(Table1[[#This Row],[Wet Mass (1)]:[Wet Mass(3)]])</f>
        <v>222.74</v>
      </c>
      <c r="I27">
        <v>213.84</v>
      </c>
      <c r="J27">
        <v>213.82</v>
      </c>
      <c r="K27">
        <v>213.82</v>
      </c>
      <c r="L27">
        <f>AVERAGE(Table1[[#This Row],[Semi Wet Mass (1)]:[Semi Wet Mass (3)]])</f>
        <v>213.82666666666668</v>
      </c>
      <c r="M27">
        <v>212.01</v>
      </c>
      <c r="N27">
        <v>212</v>
      </c>
      <c r="O27">
        <v>212.01</v>
      </c>
      <c r="P27">
        <f>AVERAGE(Table1[[#This Row],[Dry mass (1)]:[Dry mass (3)]])</f>
        <v>212.00666666666666</v>
      </c>
    </row>
    <row r="28" spans="1:16">
      <c r="A28" t="s">
        <v>37</v>
      </c>
      <c r="B28" t="s">
        <v>38</v>
      </c>
      <c r="C28" t="s">
        <v>39</v>
      </c>
      <c r="D28" t="s">
        <v>21</v>
      </c>
      <c r="E28">
        <v>213.01</v>
      </c>
      <c r="F28">
        <v>212.99</v>
      </c>
      <c r="G28">
        <v>212.97</v>
      </c>
      <c r="H28">
        <f>AVERAGE(Table1[[#This Row],[Wet Mass (1)]:[Wet Mass(3)]])</f>
        <v>212.99</v>
      </c>
      <c r="I28">
        <v>206.8</v>
      </c>
      <c r="J28">
        <v>206.8</v>
      </c>
      <c r="K28">
        <v>206.81</v>
      </c>
      <c r="L28">
        <f>AVERAGE(Table1[[#This Row],[Semi Wet Mass (1)]:[Semi Wet Mass (3)]])</f>
        <v>206.80333333333337</v>
      </c>
      <c r="M28">
        <v>204.94</v>
      </c>
      <c r="N28">
        <v>204.95</v>
      </c>
      <c r="O28">
        <v>204.96</v>
      </c>
      <c r="P28">
        <f>AVERAGE(Table1[[#This Row],[Dry mass (1)]:[Dry mass (3)]])</f>
        <v>204.95000000000002</v>
      </c>
    </row>
    <row r="29" spans="1:16">
      <c r="A29" t="s">
        <v>37</v>
      </c>
      <c r="B29" t="s">
        <v>38</v>
      </c>
      <c r="C29" t="s">
        <v>39</v>
      </c>
      <c r="D29" t="s">
        <v>22</v>
      </c>
      <c r="E29">
        <v>176.14</v>
      </c>
      <c r="F29">
        <v>176.16</v>
      </c>
      <c r="G29">
        <v>176.14</v>
      </c>
      <c r="H29">
        <f>AVERAGE(Table1[[#This Row],[Wet Mass (1)]:[Wet Mass(3)]])</f>
        <v>176.14666666666665</v>
      </c>
      <c r="I29">
        <v>164.16</v>
      </c>
      <c r="J29">
        <v>164.19</v>
      </c>
      <c r="K29">
        <v>164.18</v>
      </c>
      <c r="L29">
        <f>AVERAGE(Table1[[#This Row],[Semi Wet Mass (1)]:[Semi Wet Mass (3)]])</f>
        <v>164.17666666666668</v>
      </c>
      <c r="M29">
        <v>161.99</v>
      </c>
      <c r="N29">
        <v>162</v>
      </c>
      <c r="O29">
        <v>162</v>
      </c>
      <c r="P29">
        <f>AVERAGE(Table1[[#This Row],[Dry mass (1)]:[Dry mass (3)]])</f>
        <v>161.99666666666667</v>
      </c>
    </row>
    <row r="30" spans="1:16">
      <c r="A30" t="s">
        <v>40</v>
      </c>
      <c r="B30" t="s">
        <v>41</v>
      </c>
      <c r="C30" t="s">
        <v>42</v>
      </c>
      <c r="D30" t="s">
        <v>19</v>
      </c>
      <c r="E30">
        <v>164.68</v>
      </c>
      <c r="F30">
        <v>164.7</v>
      </c>
      <c r="G30">
        <v>164.67</v>
      </c>
      <c r="H30">
        <f>AVERAGE(Table1[[#This Row],[Wet Mass (1)]:[Wet Mass(3)]])</f>
        <v>164.68333333333331</v>
      </c>
      <c r="I30">
        <v>147.07</v>
      </c>
      <c r="J30">
        <v>147.05000000000001</v>
      </c>
      <c r="K30">
        <v>147.07</v>
      </c>
      <c r="L30">
        <f>AVERAGE(Table1[[#This Row],[Semi Wet Mass (1)]:[Semi Wet Mass (3)]])</f>
        <v>147.06333333333333</v>
      </c>
      <c r="M30">
        <v>145.26</v>
      </c>
      <c r="N30">
        <v>145.26</v>
      </c>
      <c r="O30">
        <v>145.26</v>
      </c>
      <c r="P30">
        <f>AVERAGE(Table1[[#This Row],[Dry mass (1)]:[Dry mass (3)]])</f>
        <v>145.26</v>
      </c>
    </row>
    <row r="31" spans="1:16">
      <c r="A31" t="s">
        <v>40</v>
      </c>
      <c r="B31" t="s">
        <v>41</v>
      </c>
      <c r="C31" t="s">
        <v>42</v>
      </c>
      <c r="D31" t="s">
        <v>20</v>
      </c>
      <c r="E31">
        <v>243.6</v>
      </c>
      <c r="F31">
        <v>243.52</v>
      </c>
      <c r="G31">
        <v>243.5</v>
      </c>
      <c r="H31">
        <f>AVERAGE(Table1[[#This Row],[Wet Mass (1)]:[Wet Mass(3)]])</f>
        <v>243.54</v>
      </c>
      <c r="I31">
        <v>236.11</v>
      </c>
      <c r="J31">
        <v>236.1</v>
      </c>
      <c r="K31">
        <v>236.09</v>
      </c>
      <c r="L31">
        <f>AVERAGE(Table1[[#This Row],[Semi Wet Mass (1)]:[Semi Wet Mass (3)]])</f>
        <v>236.10000000000002</v>
      </c>
      <c r="M31">
        <v>233.55</v>
      </c>
      <c r="N31">
        <v>232.55</v>
      </c>
      <c r="O31">
        <v>232.86</v>
      </c>
      <c r="P31">
        <f>AVERAGE(Table1[[#This Row],[Dry mass (1)]:[Dry mass (3)]])</f>
        <v>232.98666666666668</v>
      </c>
    </row>
    <row r="32" spans="1:16">
      <c r="A32" t="s">
        <v>40</v>
      </c>
      <c r="B32" t="s">
        <v>41</v>
      </c>
      <c r="C32" t="s">
        <v>42</v>
      </c>
      <c r="D32" t="s">
        <v>21</v>
      </c>
      <c r="E32">
        <v>240.25</v>
      </c>
      <c r="F32">
        <v>240.26</v>
      </c>
      <c r="G32">
        <v>240.27</v>
      </c>
      <c r="H32">
        <f>AVERAGE(Table1[[#This Row],[Wet Mass (1)]:[Wet Mass(3)]])</f>
        <v>240.26</v>
      </c>
      <c r="I32">
        <v>237.72</v>
      </c>
      <c r="J32">
        <v>237.74</v>
      </c>
      <c r="K32">
        <v>237.74</v>
      </c>
      <c r="L32">
        <f>AVERAGE(Table1[[#This Row],[Semi Wet Mass (1)]:[Semi Wet Mass (3)]])</f>
        <v>237.73333333333335</v>
      </c>
      <c r="M32">
        <v>235.25</v>
      </c>
      <c r="N32">
        <v>235.26</v>
      </c>
      <c r="O32">
        <v>235.27</v>
      </c>
      <c r="P32">
        <f>AVERAGE(Table1[[#This Row],[Dry mass (1)]:[Dry mass (3)]])</f>
        <v>235.26</v>
      </c>
    </row>
    <row r="33" spans="1:16">
      <c r="A33" t="s">
        <v>40</v>
      </c>
      <c r="B33" t="s">
        <v>41</v>
      </c>
      <c r="C33" t="s">
        <v>42</v>
      </c>
      <c r="D33" t="s">
        <v>22</v>
      </c>
      <c r="E33">
        <v>396.22</v>
      </c>
      <c r="F33">
        <v>396.2</v>
      </c>
      <c r="G33">
        <v>396.2</v>
      </c>
      <c r="H33">
        <f>AVERAGE(Table1[[#This Row],[Wet Mass (1)]:[Wet Mass(3)]])</f>
        <v>396.20666666666671</v>
      </c>
      <c r="I33">
        <v>378.8</v>
      </c>
      <c r="J33">
        <v>378.78</v>
      </c>
      <c r="K33">
        <v>378.76</v>
      </c>
      <c r="L33">
        <f>AVERAGE(Table1[[#This Row],[Semi Wet Mass (1)]:[Semi Wet Mass (3)]])</f>
        <v>378.78</v>
      </c>
      <c r="M33">
        <v>375.22</v>
      </c>
      <c r="N33">
        <v>375.23</v>
      </c>
      <c r="O33">
        <v>375.22</v>
      </c>
      <c r="P33">
        <f>AVERAGE(Table1[[#This Row],[Dry mass (1)]:[Dry mass (3)]])</f>
        <v>375.22333333333336</v>
      </c>
    </row>
    <row r="34" spans="1:16">
      <c r="A34" t="s">
        <v>43</v>
      </c>
      <c r="B34" t="s">
        <v>44</v>
      </c>
      <c r="C34" t="s">
        <v>45</v>
      </c>
      <c r="D34" t="s">
        <v>19</v>
      </c>
      <c r="E34">
        <v>351.59</v>
      </c>
      <c r="F34">
        <v>351.61</v>
      </c>
      <c r="G34">
        <v>351.6</v>
      </c>
      <c r="H34">
        <f>AVERAGE(Table1[[#This Row],[Wet Mass (1)]:[Wet Mass(3)]])</f>
        <v>351.60000000000008</v>
      </c>
      <c r="I34">
        <v>334.73</v>
      </c>
      <c r="J34">
        <v>334.75</v>
      </c>
      <c r="K34">
        <v>334.75</v>
      </c>
      <c r="L34">
        <f>AVERAGE(Table1[[#This Row],[Semi Wet Mass (1)]:[Semi Wet Mass (3)]])</f>
        <v>334.74333333333334</v>
      </c>
      <c r="M34">
        <v>332.9</v>
      </c>
      <c r="N34">
        <v>332.92</v>
      </c>
      <c r="O34">
        <v>332.91</v>
      </c>
      <c r="P34">
        <f>AVERAGE(Table1[[#This Row],[Dry mass (1)]:[Dry mass (3)]])</f>
        <v>332.91</v>
      </c>
    </row>
    <row r="35" spans="1:16">
      <c r="A35" t="s">
        <v>43</v>
      </c>
      <c r="B35" t="s">
        <v>44</v>
      </c>
      <c r="C35" t="s">
        <v>45</v>
      </c>
      <c r="D35" t="s">
        <v>20</v>
      </c>
      <c r="E35">
        <v>259.85000000000002</v>
      </c>
      <c r="F35">
        <v>259.86</v>
      </c>
      <c r="G35">
        <v>259.83</v>
      </c>
      <c r="H35">
        <f>AVERAGE(Table1[[#This Row],[Wet Mass (1)]:[Wet Mass(3)]])</f>
        <v>259.84666666666664</v>
      </c>
      <c r="I35">
        <v>249.68</v>
      </c>
      <c r="J35">
        <v>249.66</v>
      </c>
      <c r="K35">
        <v>249.64</v>
      </c>
      <c r="L35">
        <f>AVERAGE(Table1[[#This Row],[Semi Wet Mass (1)]:[Semi Wet Mass (3)]])</f>
        <v>249.66</v>
      </c>
      <c r="M35">
        <v>248.33</v>
      </c>
      <c r="N35">
        <v>248.34</v>
      </c>
      <c r="O35">
        <v>248.36</v>
      </c>
      <c r="P35">
        <f>AVERAGE(Table1[[#This Row],[Dry mass (1)]:[Dry mass (3)]])</f>
        <v>248.34333333333333</v>
      </c>
    </row>
    <row r="36" spans="1:16">
      <c r="A36" t="s">
        <v>43</v>
      </c>
      <c r="B36" t="s">
        <v>44</v>
      </c>
      <c r="C36" t="s">
        <v>45</v>
      </c>
      <c r="D36" t="s">
        <v>21</v>
      </c>
      <c r="E36">
        <v>360.14</v>
      </c>
      <c r="F36">
        <v>360.14</v>
      </c>
      <c r="G36">
        <v>360.12</v>
      </c>
      <c r="H36">
        <f>AVERAGE(Table1[[#This Row],[Wet Mass (1)]:[Wet Mass(3)]])</f>
        <v>360.13333333333338</v>
      </c>
      <c r="I36">
        <v>347.42</v>
      </c>
      <c r="J36">
        <v>347.44</v>
      </c>
      <c r="K36">
        <v>347.42</v>
      </c>
      <c r="L36">
        <f>AVERAGE(Table1[[#This Row],[Semi Wet Mass (1)]:[Semi Wet Mass (3)]])</f>
        <v>347.42666666666668</v>
      </c>
      <c r="M36">
        <v>345.75</v>
      </c>
      <c r="N36">
        <v>345.75</v>
      </c>
      <c r="O36">
        <v>345.76</v>
      </c>
      <c r="P36">
        <f>AVERAGE(Table1[[#This Row],[Dry mass (1)]:[Dry mass (3)]])</f>
        <v>345.75333333333333</v>
      </c>
    </row>
    <row r="37" spans="1:16">
      <c r="A37" t="s">
        <v>43</v>
      </c>
      <c r="B37" t="s">
        <v>44</v>
      </c>
      <c r="C37" t="s">
        <v>45</v>
      </c>
      <c r="D37" t="s">
        <v>22</v>
      </c>
      <c r="E37">
        <v>317.04000000000002</v>
      </c>
      <c r="F37">
        <v>317.04000000000002</v>
      </c>
      <c r="G37">
        <v>317.05</v>
      </c>
      <c r="H37">
        <f>AVERAGE(Table1[[#This Row],[Wet Mass (1)]:[Wet Mass(3)]])</f>
        <v>317.04333333333335</v>
      </c>
      <c r="I37">
        <v>307.74</v>
      </c>
      <c r="J37">
        <v>307.76</v>
      </c>
      <c r="K37">
        <v>307.74</v>
      </c>
      <c r="L37">
        <f>AVERAGE(Table1[[#This Row],[Semi Wet Mass (1)]:[Semi Wet Mass (3)]])</f>
        <v>307.74666666666667</v>
      </c>
      <c r="M37">
        <v>306.64999999999998</v>
      </c>
      <c r="N37">
        <v>305.58</v>
      </c>
      <c r="O37">
        <v>306.58</v>
      </c>
      <c r="P37">
        <f>AVERAGE(Table1[[#This Row],[Dry mass (1)]:[Dry mass (3)]])</f>
        <v>306.27</v>
      </c>
    </row>
    <row r="38" spans="1:16">
      <c r="A38" t="s">
        <v>46</v>
      </c>
      <c r="B38" t="s">
        <v>47</v>
      </c>
      <c r="C38" t="s">
        <v>48</v>
      </c>
      <c r="D38" t="s">
        <v>19</v>
      </c>
      <c r="E38">
        <v>195.22</v>
      </c>
      <c r="F38">
        <v>195.23</v>
      </c>
      <c r="G38">
        <v>195.22</v>
      </c>
      <c r="H38">
        <f>AVERAGE(Table1[[#This Row],[Wet Mass (1)]:[Wet Mass(3)]])</f>
        <v>195.22333333333333</v>
      </c>
      <c r="I38">
        <v>139.93</v>
      </c>
      <c r="J38">
        <v>139.9</v>
      </c>
      <c r="K38">
        <v>139.91</v>
      </c>
      <c r="L38">
        <f>AVERAGE(Table1[[#This Row],[Semi Wet Mass (1)]:[Semi Wet Mass (3)]])</f>
        <v>139.91333333333333</v>
      </c>
      <c r="M38">
        <v>128.5</v>
      </c>
      <c r="N38">
        <v>125.51</v>
      </c>
      <c r="O38">
        <v>128.51</v>
      </c>
      <c r="P38">
        <f>AVERAGE(Table1[[#This Row],[Dry mass (1)]:[Dry mass (3)]])</f>
        <v>127.50666666666666</v>
      </c>
    </row>
    <row r="39" spans="1:16">
      <c r="A39" t="s">
        <v>46</v>
      </c>
      <c r="B39" t="s">
        <v>47</v>
      </c>
      <c r="C39" t="s">
        <v>48</v>
      </c>
      <c r="D39" t="s">
        <v>20</v>
      </c>
      <c r="E39">
        <v>143.75</v>
      </c>
      <c r="F39">
        <v>143.75</v>
      </c>
      <c r="G39">
        <v>143.75</v>
      </c>
      <c r="H39">
        <f>AVERAGE(Table1[[#This Row],[Wet Mass (1)]:[Wet Mass(3)]])</f>
        <v>143.75</v>
      </c>
      <c r="I39">
        <v>90.2</v>
      </c>
      <c r="J39">
        <v>90.2</v>
      </c>
      <c r="K39">
        <v>90.19</v>
      </c>
      <c r="L39">
        <f>AVERAGE(Table1[[#This Row],[Semi Wet Mass (1)]:[Semi Wet Mass (3)]])</f>
        <v>90.196666666666673</v>
      </c>
      <c r="M39">
        <v>76.930000000000007</v>
      </c>
      <c r="N39">
        <v>76.94</v>
      </c>
      <c r="O39">
        <v>76.95</v>
      </c>
      <c r="P39">
        <f>AVERAGE(Table1[[#This Row],[Dry mass (1)]:[Dry mass (3)]])</f>
        <v>76.94</v>
      </c>
    </row>
    <row r="40" spans="1:16">
      <c r="A40" t="s">
        <v>46</v>
      </c>
      <c r="B40" t="s">
        <v>47</v>
      </c>
      <c r="C40" t="s">
        <v>48</v>
      </c>
      <c r="D40" t="s">
        <v>21</v>
      </c>
      <c r="E40">
        <v>103.62</v>
      </c>
      <c r="F40">
        <v>103.61</v>
      </c>
      <c r="G40">
        <v>103.6</v>
      </c>
      <c r="H40">
        <f>AVERAGE(Table1[[#This Row],[Wet Mass (1)]:[Wet Mass(3)]])</f>
        <v>103.61000000000001</v>
      </c>
      <c r="I40">
        <v>73.45</v>
      </c>
      <c r="J40">
        <v>73.45</v>
      </c>
      <c r="K40">
        <v>73.44</v>
      </c>
      <c r="L40">
        <f>AVERAGE(Table1[[#This Row],[Semi Wet Mass (1)]:[Semi Wet Mass (3)]])</f>
        <v>73.446666666666673</v>
      </c>
      <c r="M40">
        <v>65.150000000000006</v>
      </c>
      <c r="N40">
        <v>65.16</v>
      </c>
      <c r="O40">
        <v>65.16</v>
      </c>
      <c r="P40">
        <f>AVERAGE(Table1[[#This Row],[Dry mass (1)]:[Dry mass (3)]])</f>
        <v>65.156666666666666</v>
      </c>
    </row>
    <row r="41" spans="1:16">
      <c r="A41" t="s">
        <v>46</v>
      </c>
      <c r="B41" t="s">
        <v>47</v>
      </c>
      <c r="C41" t="s">
        <v>48</v>
      </c>
      <c r="D41" t="s">
        <v>22</v>
      </c>
      <c r="E41">
        <v>63.02</v>
      </c>
      <c r="F41">
        <v>63.03</v>
      </c>
      <c r="G41">
        <v>63.02</v>
      </c>
      <c r="H41">
        <f>AVERAGE(Table1[[#This Row],[Wet Mass (1)]:[Wet Mass(3)]])</f>
        <v>63.023333333333341</v>
      </c>
      <c r="I41">
        <v>44.73</v>
      </c>
      <c r="J41">
        <v>44.72</v>
      </c>
      <c r="K41">
        <v>44.73</v>
      </c>
      <c r="L41">
        <f>AVERAGE(Table1[[#This Row],[Semi Wet Mass (1)]:[Semi Wet Mass (3)]])</f>
        <v>44.726666666666659</v>
      </c>
      <c r="M41">
        <v>40.24</v>
      </c>
      <c r="N41">
        <v>40.25</v>
      </c>
      <c r="O41">
        <v>40.26</v>
      </c>
      <c r="P41">
        <f>AVERAGE(Table1[[#This Row],[Dry mass (1)]:[Dry mass (3)]])</f>
        <v>40.25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Davids</dc:creator>
  <cp:keywords/>
  <dc:description/>
  <cp:lastModifiedBy/>
  <cp:revision/>
  <dcterms:created xsi:type="dcterms:W3CDTF">2025-02-03T20:06:17Z</dcterms:created>
  <dcterms:modified xsi:type="dcterms:W3CDTF">2025-02-21T14:09:19Z</dcterms:modified>
  <cp:category/>
  <cp:contentStatus/>
</cp:coreProperties>
</file>