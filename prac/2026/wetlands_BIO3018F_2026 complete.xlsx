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per/GIT/BIO3018F/prac/2026/"/>
    </mc:Choice>
  </mc:AlternateContent>
  <xr:revisionPtr revIDLastSave="0" documentId="13_ncr:1_{A7EB20BB-06B3-EF4E-9D2F-EDB0FDD346E0}" xr6:coauthVersionLast="47" xr6:coauthVersionMax="47" xr10:uidLastSave="{00000000-0000-0000-0000-000000000000}"/>
  <bookViews>
    <workbookView xWindow="30300" yWindow="-1520" windowWidth="25600" windowHeight="15500" xr2:uid="{DB49517A-0D61-2046-9DF1-E47353E179A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" l="1"/>
  <c r="J46" i="1"/>
  <c r="J51" i="1"/>
  <c r="J41" i="1"/>
  <c r="J31" i="1"/>
  <c r="J26" i="1"/>
  <c r="J21" i="1"/>
  <c r="J16" i="1"/>
</calcChain>
</file>

<file path=xl/sharedStrings.xml><?xml version="1.0" encoding="utf-8"?>
<sst xmlns="http://schemas.openxmlformats.org/spreadsheetml/2006/main" count="373" uniqueCount="65">
  <si>
    <t>Site</t>
  </si>
  <si>
    <t>Species</t>
  </si>
  <si>
    <t>Cliffortia strobilifera</t>
  </si>
  <si>
    <t>Wet mass (g)</t>
  </si>
  <si>
    <t>Dry mass (g)</t>
  </si>
  <si>
    <t>Habitat</t>
  </si>
  <si>
    <t>Damp places and seepages in mountains and along streams</t>
  </si>
  <si>
    <t>Platycaulos</t>
  </si>
  <si>
    <t>Widespread in marshy areas</t>
  </si>
  <si>
    <t>Morella quercifolia</t>
  </si>
  <si>
    <t>Soil</t>
  </si>
  <si>
    <t>Sandy flats and slopes</t>
  </si>
  <si>
    <t>Berzelia lanuginosa</t>
  </si>
  <si>
    <t>Sandy flats and slopes in permanently moist sites</t>
  </si>
  <si>
    <t>Leucadendron salignum</t>
  </si>
  <si>
    <t>Pentameris</t>
  </si>
  <si>
    <t>Cliffortia stricta</t>
  </si>
  <si>
    <t>Flats and lower slopes</t>
  </si>
  <si>
    <t>Many soils and widely distributed</t>
  </si>
  <si>
    <t>Most drier fynbos areas</t>
  </si>
  <si>
    <t>Pair</t>
  </si>
  <si>
    <t>Cliffortia</t>
  </si>
  <si>
    <t>Graminoid</t>
  </si>
  <si>
    <t>Morella</t>
  </si>
  <si>
    <t>Berz-Leuc</t>
  </si>
  <si>
    <t>Wet</t>
  </si>
  <si>
    <t>Dry</t>
  </si>
  <si>
    <t>Saturday, 24 Jan, 2026</t>
  </si>
  <si>
    <t>Date</t>
  </si>
  <si>
    <t>Site Number</t>
  </si>
  <si>
    <t>Team</t>
  </si>
  <si>
    <t>All</t>
  </si>
  <si>
    <t>Latitude</t>
  </si>
  <si>
    <t>Longitude</t>
  </si>
  <si>
    <t>Notes</t>
  </si>
  <si>
    <t>Site A</t>
  </si>
  <si>
    <t>Site B</t>
  </si>
  <si>
    <t>Site C</t>
  </si>
  <si>
    <t>Site D</t>
  </si>
  <si>
    <t>JB, EGW, SJLR, AC, TP</t>
  </si>
  <si>
    <t>Sunday, 25 Jan, 2026</t>
  </si>
  <si>
    <t>Bare Ground (%)</t>
  </si>
  <si>
    <t>Restio tetragonis</t>
  </si>
  <si>
    <t>Elegia juncea</t>
  </si>
  <si>
    <t>Erica 1</t>
  </si>
  <si>
    <t>Mastersiella digitata</t>
  </si>
  <si>
    <t>Erica 2</t>
  </si>
  <si>
    <t>Site 1 (wet)</t>
  </si>
  <si>
    <t>KK, JF, SB, BM, JCM</t>
  </si>
  <si>
    <t>Hypodiscus aristata</t>
  </si>
  <si>
    <t>Phylica</t>
  </si>
  <si>
    <t>Site 1 (dry)</t>
  </si>
  <si>
    <t>Site 2 (dry)</t>
  </si>
  <si>
    <t xml:space="preserve">Morella quercifolia  </t>
  </si>
  <si>
    <t>Site 2 (wet)</t>
  </si>
  <si>
    <t>Restio</t>
  </si>
  <si>
    <t xml:space="preserve">Soil </t>
  </si>
  <si>
    <t>Veg Height (m)</t>
  </si>
  <si>
    <t>Elegia</t>
  </si>
  <si>
    <t>A</t>
  </si>
  <si>
    <t>B</t>
  </si>
  <si>
    <t>C</t>
  </si>
  <si>
    <t>D</t>
  </si>
  <si>
    <t>E</t>
  </si>
  <si>
    <t>EricaPhylica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</si>
</sst>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D3CD-6D21-2142-BDFF-17408490C27D}">
  <dimension ref="A1:N51"/>
  <sheetViews>
    <sheetView tabSelected="1" topLeftCell="A8" zoomScale="80" zoomScaleNormal="80" workbookViewId="0">
      <selection activeCell="E17" sqref="E17"/>
    </sheetView>
  </sheetViews>
  <sheetFormatPr baseColWidth="10" defaultColWidth="10.83203125" defaultRowHeight="16" x14ac:dyDescent="0.2"/>
  <cols>
    <col min="2" max="2" width="18.1640625" bestFit="1" customWidth="1"/>
    <col min="6" max="6" width="19" bestFit="1" customWidth="1"/>
    <col min="7" max="7" width="14.1640625" bestFit="1" customWidth="1"/>
    <col min="8" max="8" width="20.33203125" bestFit="1" customWidth="1"/>
    <col min="10" max="10" width="10.83203125" style="2"/>
    <col min="11" max="11" width="46.6640625" customWidth="1"/>
    <col min="14" max="14" width="12.6640625" bestFit="1" customWidth="1"/>
  </cols>
  <sheetData>
    <row r="1" spans="1:14" x14ac:dyDescent="0.2">
      <c r="A1" t="s">
        <v>29</v>
      </c>
      <c r="B1" t="s">
        <v>30</v>
      </c>
      <c r="C1" t="s">
        <v>0</v>
      </c>
      <c r="D1" t="s">
        <v>32</v>
      </c>
      <c r="E1" t="s">
        <v>33</v>
      </c>
      <c r="F1" t="s">
        <v>28</v>
      </c>
      <c r="G1" t="s">
        <v>41</v>
      </c>
      <c r="H1" t="s">
        <v>1</v>
      </c>
      <c r="I1" t="s">
        <v>3</v>
      </c>
      <c r="J1" t="s">
        <v>4</v>
      </c>
      <c r="K1" t="s">
        <v>5</v>
      </c>
      <c r="L1" t="s">
        <v>20</v>
      </c>
      <c r="M1" t="s">
        <v>34</v>
      </c>
      <c r="N1" t="s">
        <v>57</v>
      </c>
    </row>
    <row r="2" spans="1:14" x14ac:dyDescent="0.2">
      <c r="A2" t="s">
        <v>59</v>
      </c>
      <c r="B2" t="s">
        <v>31</v>
      </c>
      <c r="C2" t="s">
        <v>25</v>
      </c>
      <c r="D2">
        <v>-34.405830000000002</v>
      </c>
      <c r="E2">
        <v>20.579630000000002</v>
      </c>
      <c r="F2" t="s">
        <v>27</v>
      </c>
      <c r="G2">
        <v>0</v>
      </c>
      <c r="H2" t="s">
        <v>2</v>
      </c>
      <c r="I2" s="2">
        <v>4</v>
      </c>
      <c r="J2" s="2">
        <v>2.0099999999999998</v>
      </c>
      <c r="K2" t="s">
        <v>8</v>
      </c>
      <c r="L2" t="s">
        <v>21</v>
      </c>
      <c r="N2">
        <v>2.59</v>
      </c>
    </row>
    <row r="3" spans="1:14" x14ac:dyDescent="0.2">
      <c r="A3" t="s">
        <v>59</v>
      </c>
      <c r="B3" t="s">
        <v>31</v>
      </c>
      <c r="C3" t="s">
        <v>25</v>
      </c>
      <c r="D3">
        <v>-34.405830000000002</v>
      </c>
      <c r="E3">
        <v>20.579630000000002</v>
      </c>
      <c r="F3" t="s">
        <v>27</v>
      </c>
      <c r="G3">
        <v>0</v>
      </c>
      <c r="H3" t="s">
        <v>7</v>
      </c>
      <c r="I3" s="2">
        <v>4</v>
      </c>
      <c r="J3" s="2">
        <v>1.54</v>
      </c>
      <c r="K3" t="s">
        <v>6</v>
      </c>
      <c r="L3" t="s">
        <v>22</v>
      </c>
      <c r="N3">
        <v>2.59</v>
      </c>
    </row>
    <row r="4" spans="1:14" x14ac:dyDescent="0.2">
      <c r="A4" t="s">
        <v>59</v>
      </c>
      <c r="B4" t="s">
        <v>31</v>
      </c>
      <c r="C4" t="s">
        <v>25</v>
      </c>
      <c r="D4">
        <v>-34.405830000000002</v>
      </c>
      <c r="E4">
        <v>20.579630000000002</v>
      </c>
      <c r="F4" t="s">
        <v>27</v>
      </c>
      <c r="G4">
        <v>0</v>
      </c>
      <c r="H4" t="s">
        <v>12</v>
      </c>
      <c r="I4" s="2">
        <v>4</v>
      </c>
      <c r="J4" s="2">
        <v>1.67</v>
      </c>
      <c r="K4" t="s">
        <v>13</v>
      </c>
      <c r="L4" t="s">
        <v>24</v>
      </c>
      <c r="N4">
        <v>2.59</v>
      </c>
    </row>
    <row r="5" spans="1:14" x14ac:dyDescent="0.2">
      <c r="A5" t="s">
        <v>59</v>
      </c>
      <c r="B5" t="s">
        <v>31</v>
      </c>
      <c r="C5" t="s">
        <v>25</v>
      </c>
      <c r="D5">
        <v>-34.405830000000002</v>
      </c>
      <c r="E5">
        <v>20.579630000000002</v>
      </c>
      <c r="F5" t="s">
        <v>27</v>
      </c>
      <c r="G5">
        <v>0</v>
      </c>
      <c r="H5" t="s">
        <v>9</v>
      </c>
      <c r="I5" s="2">
        <v>4</v>
      </c>
      <c r="J5" s="2">
        <v>1.85</v>
      </c>
      <c r="K5" t="s">
        <v>11</v>
      </c>
      <c r="L5" t="s">
        <v>23</v>
      </c>
      <c r="N5">
        <v>2.59</v>
      </c>
    </row>
    <row r="6" spans="1:14" x14ac:dyDescent="0.2">
      <c r="A6" t="s">
        <v>59</v>
      </c>
      <c r="B6" t="s">
        <v>31</v>
      </c>
      <c r="C6" t="s">
        <v>25</v>
      </c>
      <c r="D6">
        <v>-34.405830000000002</v>
      </c>
      <c r="E6">
        <v>20.579630000000002</v>
      </c>
      <c r="F6" t="s">
        <v>27</v>
      </c>
      <c r="G6">
        <v>0</v>
      </c>
      <c r="H6" t="s">
        <v>10</v>
      </c>
      <c r="I6" s="2">
        <v>299.35000000000002</v>
      </c>
      <c r="J6" s="2">
        <v>216.75</v>
      </c>
      <c r="L6" t="s">
        <v>10</v>
      </c>
      <c r="N6">
        <v>2.59</v>
      </c>
    </row>
    <row r="7" spans="1:14" x14ac:dyDescent="0.2">
      <c r="A7" t="s">
        <v>59</v>
      </c>
      <c r="B7" t="s">
        <v>31</v>
      </c>
      <c r="C7" t="s">
        <v>26</v>
      </c>
      <c r="D7">
        <v>-34.40551</v>
      </c>
      <c r="E7">
        <v>20.5792</v>
      </c>
      <c r="F7" t="s">
        <v>27</v>
      </c>
      <c r="G7">
        <v>20</v>
      </c>
      <c r="H7" t="s">
        <v>14</v>
      </c>
      <c r="I7" s="2">
        <v>4</v>
      </c>
      <c r="J7" s="2">
        <v>1.8959999999999999</v>
      </c>
      <c r="K7" t="s">
        <v>18</v>
      </c>
      <c r="L7" t="s">
        <v>24</v>
      </c>
      <c r="N7">
        <v>1.56</v>
      </c>
    </row>
    <row r="8" spans="1:14" x14ac:dyDescent="0.2">
      <c r="A8" t="s">
        <v>59</v>
      </c>
      <c r="B8" t="s">
        <v>31</v>
      </c>
      <c r="C8" t="s">
        <v>26</v>
      </c>
      <c r="D8">
        <v>-34.40551</v>
      </c>
      <c r="E8">
        <v>20.5792</v>
      </c>
      <c r="F8" t="s">
        <v>27</v>
      </c>
      <c r="G8">
        <v>20</v>
      </c>
      <c r="H8" t="s">
        <v>15</v>
      </c>
      <c r="I8" s="2">
        <v>4</v>
      </c>
      <c r="J8" s="2">
        <v>2.0499999999999998</v>
      </c>
      <c r="K8" t="s">
        <v>19</v>
      </c>
      <c r="L8" t="s">
        <v>22</v>
      </c>
      <c r="N8">
        <v>1.56</v>
      </c>
    </row>
    <row r="9" spans="1:14" x14ac:dyDescent="0.2">
      <c r="A9" t="s">
        <v>59</v>
      </c>
      <c r="B9" t="s">
        <v>31</v>
      </c>
      <c r="C9" t="s">
        <v>26</v>
      </c>
      <c r="D9">
        <v>-34.40551</v>
      </c>
      <c r="E9">
        <v>20.5792</v>
      </c>
      <c r="F9" t="s">
        <v>27</v>
      </c>
      <c r="G9">
        <v>20</v>
      </c>
      <c r="H9" t="s">
        <v>16</v>
      </c>
      <c r="I9" s="2">
        <v>4</v>
      </c>
      <c r="J9" s="2">
        <v>2.59</v>
      </c>
      <c r="K9" t="s">
        <v>17</v>
      </c>
      <c r="L9" t="s">
        <v>21</v>
      </c>
      <c r="N9">
        <v>1.56</v>
      </c>
    </row>
    <row r="10" spans="1:14" x14ac:dyDescent="0.2">
      <c r="A10" t="s">
        <v>59</v>
      </c>
      <c r="B10" t="s">
        <v>31</v>
      </c>
      <c r="C10" t="s">
        <v>26</v>
      </c>
      <c r="D10">
        <v>-34.40551</v>
      </c>
      <c r="E10">
        <v>20.5792</v>
      </c>
      <c r="F10" t="s">
        <v>27</v>
      </c>
      <c r="G10">
        <v>20</v>
      </c>
      <c r="H10" t="s">
        <v>9</v>
      </c>
      <c r="I10" s="2">
        <v>4</v>
      </c>
      <c r="J10" s="2">
        <v>2.02</v>
      </c>
      <c r="K10" t="s">
        <v>11</v>
      </c>
      <c r="L10" t="s">
        <v>23</v>
      </c>
      <c r="N10">
        <v>1.56</v>
      </c>
    </row>
    <row r="11" spans="1:14" x14ac:dyDescent="0.2">
      <c r="A11" t="s">
        <v>59</v>
      </c>
      <c r="B11" t="s">
        <v>31</v>
      </c>
      <c r="C11" t="s">
        <v>26</v>
      </c>
      <c r="D11">
        <v>-34.40551</v>
      </c>
      <c r="E11">
        <v>20.5792</v>
      </c>
      <c r="F11" t="s">
        <v>27</v>
      </c>
      <c r="G11">
        <v>20</v>
      </c>
      <c r="H11" t="s">
        <v>10</v>
      </c>
      <c r="I11" s="2">
        <v>374.85</v>
      </c>
      <c r="J11" s="2">
        <v>359.5</v>
      </c>
      <c r="L11" t="s">
        <v>10</v>
      </c>
      <c r="N11">
        <v>1.56</v>
      </c>
    </row>
    <row r="12" spans="1:14" x14ac:dyDescent="0.2">
      <c r="A12" t="s">
        <v>60</v>
      </c>
      <c r="B12" t="s">
        <v>39</v>
      </c>
      <c r="C12" t="s">
        <v>25</v>
      </c>
      <c r="D12">
        <v>-34.403239999999997</v>
      </c>
      <c r="E12">
        <v>20.5655</v>
      </c>
      <c r="F12" t="s">
        <v>40</v>
      </c>
      <c r="G12">
        <v>0</v>
      </c>
      <c r="H12" t="s">
        <v>12</v>
      </c>
      <c r="I12" s="2">
        <v>4</v>
      </c>
      <c r="J12" s="2">
        <v>1.573</v>
      </c>
      <c r="K12" t="s">
        <v>13</v>
      </c>
      <c r="L12" t="s">
        <v>24</v>
      </c>
      <c r="M12" t="s">
        <v>36</v>
      </c>
      <c r="N12">
        <v>1.94</v>
      </c>
    </row>
    <row r="13" spans="1:14" x14ac:dyDescent="0.2">
      <c r="A13" t="s">
        <v>60</v>
      </c>
      <c r="B13" t="s">
        <v>39</v>
      </c>
      <c r="C13" t="s">
        <v>25</v>
      </c>
      <c r="D13">
        <v>-34.403239999999997</v>
      </c>
      <c r="E13">
        <v>20.5655</v>
      </c>
      <c r="F13" t="s">
        <v>40</v>
      </c>
      <c r="G13">
        <v>0</v>
      </c>
      <c r="H13" t="s">
        <v>2</v>
      </c>
      <c r="I13" s="2">
        <v>4.0030000000000001</v>
      </c>
      <c r="J13" s="2">
        <v>1.8759999999999999</v>
      </c>
      <c r="K13" t="s">
        <v>8</v>
      </c>
      <c r="L13" t="s">
        <v>21</v>
      </c>
      <c r="M13" t="s">
        <v>36</v>
      </c>
      <c r="N13">
        <v>1.94</v>
      </c>
    </row>
    <row r="14" spans="1:14" x14ac:dyDescent="0.2">
      <c r="A14" t="s">
        <v>60</v>
      </c>
      <c r="B14" t="s">
        <v>39</v>
      </c>
      <c r="C14" t="s">
        <v>25</v>
      </c>
      <c r="D14">
        <v>-34.403239999999997</v>
      </c>
      <c r="E14">
        <v>20.5655</v>
      </c>
      <c r="F14" t="s">
        <v>40</v>
      </c>
      <c r="G14">
        <v>0</v>
      </c>
      <c r="H14" t="s">
        <v>42</v>
      </c>
      <c r="I14" s="2">
        <v>4</v>
      </c>
      <c r="J14" s="2">
        <v>2.0699999999999998</v>
      </c>
      <c r="L14" t="s">
        <v>55</v>
      </c>
      <c r="M14" t="s">
        <v>36</v>
      </c>
      <c r="N14">
        <v>1.94</v>
      </c>
    </row>
    <row r="15" spans="1:14" x14ac:dyDescent="0.2">
      <c r="A15" t="s">
        <v>60</v>
      </c>
      <c r="B15" t="s">
        <v>39</v>
      </c>
      <c r="C15" t="s">
        <v>25</v>
      </c>
      <c r="D15">
        <v>-34.403239999999997</v>
      </c>
      <c r="E15">
        <v>20.5655</v>
      </c>
      <c r="F15" t="s">
        <v>40</v>
      </c>
      <c r="G15">
        <v>0</v>
      </c>
      <c r="H15" t="s">
        <v>43</v>
      </c>
      <c r="I15" s="2">
        <v>4.0030000000000001</v>
      </c>
      <c r="J15" s="2">
        <v>1.2090000000000001</v>
      </c>
      <c r="L15" t="s">
        <v>58</v>
      </c>
      <c r="M15" t="s">
        <v>36</v>
      </c>
      <c r="N15">
        <v>1.94</v>
      </c>
    </row>
    <row r="16" spans="1:14" x14ac:dyDescent="0.2">
      <c r="A16" t="s">
        <v>60</v>
      </c>
      <c r="B16" t="s">
        <v>39</v>
      </c>
      <c r="C16" t="s">
        <v>25</v>
      </c>
      <c r="D16">
        <v>-34.403239999999997</v>
      </c>
      <c r="E16">
        <v>20.5655</v>
      </c>
      <c r="F16" t="s">
        <v>40</v>
      </c>
      <c r="G16">
        <v>0</v>
      </c>
      <c r="H16" t="s">
        <v>10</v>
      </c>
      <c r="I16" s="2">
        <v>37.609000000000002</v>
      </c>
      <c r="J16" s="2">
        <f>37.15-11.05</f>
        <v>26.099999999999998</v>
      </c>
      <c r="L16" t="s">
        <v>10</v>
      </c>
      <c r="M16" t="s">
        <v>36</v>
      </c>
      <c r="N16">
        <v>1.94</v>
      </c>
    </row>
    <row r="17" spans="1:14" x14ac:dyDescent="0.2">
      <c r="A17" t="s">
        <v>60</v>
      </c>
      <c r="B17" t="s">
        <v>39</v>
      </c>
      <c r="C17" t="s">
        <v>26</v>
      </c>
      <c r="D17">
        <v>-34.403851000000003</v>
      </c>
      <c r="E17">
        <v>20.565113</v>
      </c>
      <c r="F17" t="s">
        <v>40</v>
      </c>
      <c r="G17">
        <v>10</v>
      </c>
      <c r="H17" t="s">
        <v>44</v>
      </c>
      <c r="I17" s="2">
        <v>4.0010000000000003</v>
      </c>
      <c r="J17" s="2">
        <v>2.2469999999999999</v>
      </c>
      <c r="L17" t="s">
        <v>44</v>
      </c>
      <c r="M17" t="s">
        <v>35</v>
      </c>
      <c r="N17">
        <v>0.67</v>
      </c>
    </row>
    <row r="18" spans="1:14" x14ac:dyDescent="0.2">
      <c r="A18" t="s">
        <v>60</v>
      </c>
      <c r="B18" t="s">
        <v>39</v>
      </c>
      <c r="C18" t="s">
        <v>26</v>
      </c>
      <c r="D18">
        <v>-34.403851000000003</v>
      </c>
      <c r="E18">
        <v>20.565113</v>
      </c>
      <c r="F18" t="s">
        <v>40</v>
      </c>
      <c r="G18">
        <v>10</v>
      </c>
      <c r="H18" t="s">
        <v>16</v>
      </c>
      <c r="I18" s="2">
        <v>4.0030000000000001</v>
      </c>
      <c r="J18" s="2">
        <v>2.1800000000000002</v>
      </c>
      <c r="K18" t="s">
        <v>17</v>
      </c>
      <c r="L18" t="s">
        <v>21</v>
      </c>
      <c r="M18" t="s">
        <v>35</v>
      </c>
      <c r="N18">
        <v>0.67</v>
      </c>
    </row>
    <row r="19" spans="1:14" x14ac:dyDescent="0.2">
      <c r="A19" t="s">
        <v>60</v>
      </c>
      <c r="B19" t="s">
        <v>39</v>
      </c>
      <c r="C19" t="s">
        <v>26</v>
      </c>
      <c r="D19">
        <v>-34.403851000000003</v>
      </c>
      <c r="E19">
        <v>20.565113</v>
      </c>
      <c r="F19" t="s">
        <v>40</v>
      </c>
      <c r="G19">
        <v>10</v>
      </c>
      <c r="H19" t="s">
        <v>46</v>
      </c>
      <c r="I19" s="2">
        <v>4.0030000000000001</v>
      </c>
      <c r="J19" s="2">
        <v>2.391</v>
      </c>
      <c r="L19" t="s">
        <v>46</v>
      </c>
      <c r="M19" t="s">
        <v>35</v>
      </c>
      <c r="N19">
        <v>0.67</v>
      </c>
    </row>
    <row r="20" spans="1:14" x14ac:dyDescent="0.2">
      <c r="A20" t="s">
        <v>60</v>
      </c>
      <c r="B20" t="s">
        <v>39</v>
      </c>
      <c r="C20" t="s">
        <v>26</v>
      </c>
      <c r="D20">
        <v>-34.403851000000003</v>
      </c>
      <c r="E20">
        <v>20.565113</v>
      </c>
      <c r="F20" t="s">
        <v>40</v>
      </c>
      <c r="G20">
        <v>10</v>
      </c>
      <c r="H20" t="s">
        <v>45</v>
      </c>
      <c r="I20" s="2">
        <v>4</v>
      </c>
      <c r="J20" s="2">
        <v>2.3580000000000001</v>
      </c>
      <c r="L20" t="s">
        <v>55</v>
      </c>
      <c r="M20" t="s">
        <v>35</v>
      </c>
      <c r="N20">
        <v>0.67</v>
      </c>
    </row>
    <row r="21" spans="1:14" x14ac:dyDescent="0.2">
      <c r="A21" t="s">
        <v>60</v>
      </c>
      <c r="B21" t="s">
        <v>39</v>
      </c>
      <c r="C21" t="s">
        <v>26</v>
      </c>
      <c r="D21">
        <v>-34.403851000000003</v>
      </c>
      <c r="E21">
        <v>20.565113</v>
      </c>
      <c r="F21" t="s">
        <v>40</v>
      </c>
      <c r="G21">
        <v>10</v>
      </c>
      <c r="H21" t="s">
        <v>10</v>
      </c>
      <c r="I21" s="2">
        <v>58.375</v>
      </c>
      <c r="J21" s="2">
        <f>67.6-11.05</f>
        <v>56.55</v>
      </c>
      <c r="M21" t="s">
        <v>35</v>
      </c>
      <c r="N21">
        <v>0.67</v>
      </c>
    </row>
    <row r="22" spans="1:14" x14ac:dyDescent="0.2">
      <c r="A22" t="s">
        <v>61</v>
      </c>
      <c r="B22" t="s">
        <v>39</v>
      </c>
      <c r="C22" t="s">
        <v>25</v>
      </c>
      <c r="D22">
        <v>-34.412520000000001</v>
      </c>
      <c r="E22">
        <v>20.580390000000001</v>
      </c>
      <c r="F22" t="s">
        <v>40</v>
      </c>
      <c r="G22">
        <v>0</v>
      </c>
      <c r="H22" t="s">
        <v>7</v>
      </c>
      <c r="I22" s="2">
        <v>4</v>
      </c>
      <c r="J22" s="2">
        <v>1.605</v>
      </c>
      <c r="K22" t="s">
        <v>6</v>
      </c>
      <c r="L22" t="s">
        <v>22</v>
      </c>
      <c r="M22" t="s">
        <v>38</v>
      </c>
      <c r="N22">
        <v>2.04</v>
      </c>
    </row>
    <row r="23" spans="1:14" x14ac:dyDescent="0.2">
      <c r="A23" t="s">
        <v>61</v>
      </c>
      <c r="B23" t="s">
        <v>39</v>
      </c>
      <c r="C23" t="s">
        <v>25</v>
      </c>
      <c r="D23">
        <v>-34.412520000000001</v>
      </c>
      <c r="E23">
        <v>20.580390000000001</v>
      </c>
      <c r="F23" t="s">
        <v>40</v>
      </c>
      <c r="G23">
        <v>0</v>
      </c>
      <c r="H23" t="s">
        <v>12</v>
      </c>
      <c r="I23" s="2">
        <v>4.0010000000000003</v>
      </c>
      <c r="J23" s="2">
        <v>1.5680000000000001</v>
      </c>
      <c r="K23" t="s">
        <v>13</v>
      </c>
      <c r="L23" t="s">
        <v>24</v>
      </c>
      <c r="M23" t="s">
        <v>38</v>
      </c>
      <c r="N23">
        <v>2.04</v>
      </c>
    </row>
    <row r="24" spans="1:14" x14ac:dyDescent="0.2">
      <c r="A24" t="s">
        <v>61</v>
      </c>
      <c r="B24" t="s">
        <v>39</v>
      </c>
      <c r="C24" t="s">
        <v>25</v>
      </c>
      <c r="D24">
        <v>-34.412520000000001</v>
      </c>
      <c r="E24">
        <v>20.580390000000001</v>
      </c>
      <c r="F24" t="s">
        <v>40</v>
      </c>
      <c r="G24">
        <v>0</v>
      </c>
      <c r="H24" t="s">
        <v>9</v>
      </c>
      <c r="I24" s="2">
        <v>4.0030000000000001</v>
      </c>
      <c r="J24" s="2">
        <v>1.871</v>
      </c>
      <c r="K24" t="s">
        <v>11</v>
      </c>
      <c r="L24" t="s">
        <v>23</v>
      </c>
      <c r="M24" t="s">
        <v>38</v>
      </c>
      <c r="N24">
        <v>2.04</v>
      </c>
    </row>
    <row r="25" spans="1:14" x14ac:dyDescent="0.2">
      <c r="A25" t="s">
        <v>61</v>
      </c>
      <c r="B25" t="s">
        <v>39</v>
      </c>
      <c r="C25" t="s">
        <v>25</v>
      </c>
      <c r="D25">
        <v>-34.412520000000001</v>
      </c>
      <c r="E25">
        <v>20.580390000000001</v>
      </c>
      <c r="F25" t="s">
        <v>40</v>
      </c>
      <c r="G25">
        <v>0</v>
      </c>
      <c r="H25" t="s">
        <v>46</v>
      </c>
      <c r="I25" s="2">
        <v>2.0019999999999998</v>
      </c>
      <c r="J25" s="2">
        <v>0.94299999999999995</v>
      </c>
      <c r="L25" t="s">
        <v>46</v>
      </c>
      <c r="M25" t="s">
        <v>38</v>
      </c>
      <c r="N25">
        <v>2.04</v>
      </c>
    </row>
    <row r="26" spans="1:14" x14ac:dyDescent="0.2">
      <c r="A26" t="s">
        <v>61</v>
      </c>
      <c r="B26" t="s">
        <v>39</v>
      </c>
      <c r="C26" t="s">
        <v>25</v>
      </c>
      <c r="D26">
        <v>-34.412520000000001</v>
      </c>
      <c r="E26">
        <v>20.580390000000001</v>
      </c>
      <c r="F26" t="s">
        <v>40</v>
      </c>
      <c r="G26">
        <v>0</v>
      </c>
      <c r="H26" t="s">
        <v>10</v>
      </c>
      <c r="I26" s="2">
        <v>27.684000000000001</v>
      </c>
      <c r="J26" s="2">
        <f>33.75-11.05</f>
        <v>22.7</v>
      </c>
      <c r="M26" t="s">
        <v>38</v>
      </c>
      <c r="N26">
        <v>2.04</v>
      </c>
    </row>
    <row r="27" spans="1:14" x14ac:dyDescent="0.2">
      <c r="A27" t="s">
        <v>61</v>
      </c>
      <c r="B27" t="s">
        <v>39</v>
      </c>
      <c r="C27" t="s">
        <v>26</v>
      </c>
      <c r="D27">
        <v>-34.413760000000003</v>
      </c>
      <c r="E27">
        <v>20.578589999999998</v>
      </c>
      <c r="F27" t="s">
        <v>40</v>
      </c>
      <c r="G27">
        <v>25</v>
      </c>
      <c r="H27" t="s">
        <v>46</v>
      </c>
      <c r="I27" s="2">
        <v>2.008</v>
      </c>
      <c r="J27" s="2">
        <v>1.1240000000000001</v>
      </c>
      <c r="L27" t="s">
        <v>46</v>
      </c>
      <c r="M27" t="s">
        <v>37</v>
      </c>
      <c r="N27" s="1">
        <v>1.3</v>
      </c>
    </row>
    <row r="28" spans="1:14" x14ac:dyDescent="0.2">
      <c r="A28" t="s">
        <v>61</v>
      </c>
      <c r="B28" t="s">
        <v>39</v>
      </c>
      <c r="C28" t="s">
        <v>26</v>
      </c>
      <c r="D28">
        <v>-34.413760000000003</v>
      </c>
      <c r="E28">
        <v>20.578589999999998</v>
      </c>
      <c r="F28" t="s">
        <v>40</v>
      </c>
      <c r="G28">
        <v>25</v>
      </c>
      <c r="H28" t="s">
        <v>9</v>
      </c>
      <c r="I28" s="2">
        <v>4.0030000000000001</v>
      </c>
      <c r="J28" s="2">
        <v>1.863</v>
      </c>
      <c r="K28" t="s">
        <v>11</v>
      </c>
      <c r="L28" t="s">
        <v>23</v>
      </c>
      <c r="M28" t="s">
        <v>37</v>
      </c>
      <c r="N28" s="1">
        <v>1.3</v>
      </c>
    </row>
    <row r="29" spans="1:14" x14ac:dyDescent="0.2">
      <c r="A29" t="s">
        <v>61</v>
      </c>
      <c r="B29" t="s">
        <v>39</v>
      </c>
      <c r="C29" t="s">
        <v>26</v>
      </c>
      <c r="D29">
        <v>-34.413760000000003</v>
      </c>
      <c r="E29">
        <v>20.578589999999998</v>
      </c>
      <c r="F29" t="s">
        <v>40</v>
      </c>
      <c r="G29">
        <v>25</v>
      </c>
      <c r="H29" t="s">
        <v>14</v>
      </c>
      <c r="I29" s="2">
        <v>4.0030000000000001</v>
      </c>
      <c r="J29" s="2">
        <v>1.8720000000000001</v>
      </c>
      <c r="K29" t="s">
        <v>18</v>
      </c>
      <c r="L29" t="s">
        <v>24</v>
      </c>
      <c r="M29" t="s">
        <v>37</v>
      </c>
      <c r="N29" s="1">
        <v>1.3</v>
      </c>
    </row>
    <row r="30" spans="1:14" x14ac:dyDescent="0.2">
      <c r="A30" t="s">
        <v>61</v>
      </c>
      <c r="B30" t="s">
        <v>39</v>
      </c>
      <c r="C30" t="s">
        <v>26</v>
      </c>
      <c r="D30">
        <v>-34.413760000000003</v>
      </c>
      <c r="E30">
        <v>20.578589999999998</v>
      </c>
      <c r="F30" t="s">
        <v>40</v>
      </c>
      <c r="G30">
        <v>25</v>
      </c>
      <c r="H30" t="s">
        <v>2</v>
      </c>
      <c r="I30" s="2">
        <v>4.0039999999999996</v>
      </c>
      <c r="J30" s="2">
        <v>2.1429999999999998</v>
      </c>
      <c r="K30" t="s">
        <v>8</v>
      </c>
      <c r="L30" t="s">
        <v>21</v>
      </c>
      <c r="M30" t="s">
        <v>37</v>
      </c>
      <c r="N30" s="1">
        <v>1.3</v>
      </c>
    </row>
    <row r="31" spans="1:14" x14ac:dyDescent="0.2">
      <c r="A31" t="s">
        <v>61</v>
      </c>
      <c r="B31" t="s">
        <v>39</v>
      </c>
      <c r="C31" t="s">
        <v>26</v>
      </c>
      <c r="D31">
        <v>-34.413760000000003</v>
      </c>
      <c r="E31">
        <v>20.578589999999998</v>
      </c>
      <c r="F31" t="s">
        <v>40</v>
      </c>
      <c r="G31">
        <v>25</v>
      </c>
      <c r="H31" t="s">
        <v>10</v>
      </c>
      <c r="I31" s="2">
        <v>56.558999999999997</v>
      </c>
      <c r="J31" s="2">
        <f>65.45-11.05</f>
        <v>54.400000000000006</v>
      </c>
      <c r="M31" t="s">
        <v>37</v>
      </c>
      <c r="N31" s="1">
        <v>1.3</v>
      </c>
    </row>
    <row r="32" spans="1:14" x14ac:dyDescent="0.2">
      <c r="A32" t="s">
        <v>62</v>
      </c>
      <c r="B32" t="s">
        <v>48</v>
      </c>
      <c r="C32" t="s">
        <v>25</v>
      </c>
      <c r="D32">
        <v>-34.403149999999997</v>
      </c>
      <c r="E32">
        <v>20.565000000000001</v>
      </c>
      <c r="F32" t="s">
        <v>40</v>
      </c>
      <c r="G32">
        <v>0</v>
      </c>
      <c r="H32" t="s">
        <v>12</v>
      </c>
      <c r="I32" s="2">
        <v>4.0039999999999996</v>
      </c>
      <c r="J32" s="2">
        <v>1.8879999999999999</v>
      </c>
      <c r="K32" t="s">
        <v>13</v>
      </c>
      <c r="L32" t="s">
        <v>24</v>
      </c>
      <c r="M32" t="s">
        <v>47</v>
      </c>
      <c r="N32" s="1">
        <v>2.0299999999999998</v>
      </c>
    </row>
    <row r="33" spans="1:14" x14ac:dyDescent="0.2">
      <c r="A33" t="s">
        <v>62</v>
      </c>
      <c r="B33" t="s">
        <v>48</v>
      </c>
      <c r="C33" t="s">
        <v>25</v>
      </c>
      <c r="D33">
        <v>-34.403149999999997</v>
      </c>
      <c r="E33">
        <v>20.565000000000001</v>
      </c>
      <c r="F33" t="s">
        <v>40</v>
      </c>
      <c r="G33">
        <v>0</v>
      </c>
      <c r="H33" t="s">
        <v>7</v>
      </c>
      <c r="I33" s="2">
        <v>4.0579999999999998</v>
      </c>
      <c r="J33" s="2">
        <v>2.0739999999999998</v>
      </c>
      <c r="K33" t="s">
        <v>6</v>
      </c>
      <c r="L33" t="s">
        <v>55</v>
      </c>
      <c r="M33" t="s">
        <v>47</v>
      </c>
      <c r="N33" s="1">
        <v>2.0299999999999998</v>
      </c>
    </row>
    <row r="34" spans="1:14" x14ac:dyDescent="0.2">
      <c r="A34" t="s">
        <v>62</v>
      </c>
      <c r="B34" t="s">
        <v>48</v>
      </c>
      <c r="C34" t="s">
        <v>25</v>
      </c>
      <c r="D34">
        <v>-34.403149999999997</v>
      </c>
      <c r="E34">
        <v>20.565000000000001</v>
      </c>
      <c r="F34" t="s">
        <v>40</v>
      </c>
      <c r="G34">
        <v>0</v>
      </c>
      <c r="H34" t="s">
        <v>46</v>
      </c>
      <c r="I34" s="2">
        <v>4.0449999999999999</v>
      </c>
      <c r="J34" s="2">
        <v>1.95</v>
      </c>
      <c r="L34" s="3" t="s">
        <v>64</v>
      </c>
      <c r="M34" t="s">
        <v>47</v>
      </c>
      <c r="N34" s="1">
        <v>2.0299999999999998</v>
      </c>
    </row>
    <row r="35" spans="1:14" x14ac:dyDescent="0.2">
      <c r="A35" t="s">
        <v>62</v>
      </c>
      <c r="B35" t="s">
        <v>48</v>
      </c>
      <c r="C35" t="s">
        <v>25</v>
      </c>
      <c r="D35">
        <v>-34.403149999999997</v>
      </c>
      <c r="E35">
        <v>20.565000000000001</v>
      </c>
      <c r="F35" t="s">
        <v>40</v>
      </c>
      <c r="G35">
        <v>0</v>
      </c>
      <c r="H35" t="s">
        <v>9</v>
      </c>
      <c r="I35" s="2">
        <v>4.016</v>
      </c>
      <c r="J35" s="2">
        <v>1.94</v>
      </c>
      <c r="K35" t="s">
        <v>11</v>
      </c>
      <c r="L35" t="s">
        <v>23</v>
      </c>
      <c r="M35" t="s">
        <v>47</v>
      </c>
      <c r="N35" s="1">
        <v>2.0299999999999998</v>
      </c>
    </row>
    <row r="36" spans="1:14" x14ac:dyDescent="0.2">
      <c r="A36" t="s">
        <v>62</v>
      </c>
      <c r="B36" t="s">
        <v>48</v>
      </c>
      <c r="C36" t="s">
        <v>25</v>
      </c>
      <c r="D36">
        <v>-34.403149999999997</v>
      </c>
      <c r="E36">
        <v>20.565000000000001</v>
      </c>
      <c r="F36" t="s">
        <v>40</v>
      </c>
      <c r="G36">
        <v>0</v>
      </c>
      <c r="H36" t="s">
        <v>56</v>
      </c>
      <c r="I36" s="2">
        <v>47.55</v>
      </c>
      <c r="J36" s="2">
        <f>52.95-11.05</f>
        <v>41.900000000000006</v>
      </c>
      <c r="M36" t="s">
        <v>47</v>
      </c>
      <c r="N36" s="1">
        <v>2.0299999999999998</v>
      </c>
    </row>
    <row r="37" spans="1:14" x14ac:dyDescent="0.2">
      <c r="A37" t="s">
        <v>62</v>
      </c>
      <c r="B37" t="s">
        <v>48</v>
      </c>
      <c r="C37" t="s">
        <v>26</v>
      </c>
      <c r="D37">
        <v>-34.40352</v>
      </c>
      <c r="E37">
        <v>20.564520000000002</v>
      </c>
      <c r="F37" t="s">
        <v>40</v>
      </c>
      <c r="G37">
        <v>43</v>
      </c>
      <c r="H37" t="s">
        <v>49</v>
      </c>
      <c r="I37">
        <v>4.016</v>
      </c>
      <c r="J37" s="2">
        <v>1.8540000000000001</v>
      </c>
      <c r="L37" t="s">
        <v>55</v>
      </c>
      <c r="M37" t="s">
        <v>51</v>
      </c>
      <c r="N37" s="1">
        <v>1.03</v>
      </c>
    </row>
    <row r="38" spans="1:14" x14ac:dyDescent="0.2">
      <c r="A38" t="s">
        <v>62</v>
      </c>
      <c r="B38" t="s">
        <v>48</v>
      </c>
      <c r="C38" t="s">
        <v>26</v>
      </c>
      <c r="D38">
        <v>-34.40352</v>
      </c>
      <c r="E38">
        <v>20.564520000000002</v>
      </c>
      <c r="F38" t="s">
        <v>40</v>
      </c>
      <c r="G38">
        <v>43</v>
      </c>
      <c r="H38" t="s">
        <v>14</v>
      </c>
      <c r="I38">
        <v>4.0330000000000004</v>
      </c>
      <c r="J38" s="2">
        <v>1.6319999999999999</v>
      </c>
      <c r="K38" t="s">
        <v>18</v>
      </c>
      <c r="L38" t="s">
        <v>24</v>
      </c>
      <c r="M38" t="s">
        <v>51</v>
      </c>
      <c r="N38" s="1">
        <v>1.03</v>
      </c>
    </row>
    <row r="39" spans="1:14" x14ac:dyDescent="0.2">
      <c r="A39" t="s">
        <v>62</v>
      </c>
      <c r="B39" t="s">
        <v>48</v>
      </c>
      <c r="C39" t="s">
        <v>26</v>
      </c>
      <c r="D39">
        <v>-34.40352</v>
      </c>
      <c r="E39">
        <v>20.564520000000002</v>
      </c>
      <c r="F39" t="s">
        <v>40</v>
      </c>
      <c r="G39">
        <v>43</v>
      </c>
      <c r="H39" t="s">
        <v>50</v>
      </c>
      <c r="I39">
        <v>4.0030000000000001</v>
      </c>
      <c r="J39" s="2">
        <v>2.524</v>
      </c>
      <c r="L39" s="3" t="s">
        <v>64</v>
      </c>
      <c r="M39" t="s">
        <v>51</v>
      </c>
      <c r="N39" s="1">
        <v>1.03</v>
      </c>
    </row>
    <row r="40" spans="1:14" x14ac:dyDescent="0.2">
      <c r="A40" t="s">
        <v>62</v>
      </c>
      <c r="B40" t="s">
        <v>48</v>
      </c>
      <c r="C40" t="s">
        <v>26</v>
      </c>
      <c r="D40">
        <v>-34.40352</v>
      </c>
      <c r="E40">
        <v>20.564520000000002</v>
      </c>
      <c r="F40" t="s">
        <v>40</v>
      </c>
      <c r="G40">
        <v>43</v>
      </c>
      <c r="H40" t="s">
        <v>16</v>
      </c>
      <c r="I40">
        <v>4.0049999999999999</v>
      </c>
      <c r="J40" s="2">
        <v>2.5150000000000001</v>
      </c>
      <c r="K40" t="s">
        <v>17</v>
      </c>
      <c r="L40" t="s">
        <v>21</v>
      </c>
      <c r="M40" t="s">
        <v>51</v>
      </c>
      <c r="N40" s="1">
        <v>1.03</v>
      </c>
    </row>
    <row r="41" spans="1:14" x14ac:dyDescent="0.2">
      <c r="A41" t="s">
        <v>62</v>
      </c>
      <c r="B41" t="s">
        <v>48</v>
      </c>
      <c r="C41" t="s">
        <v>26</v>
      </c>
      <c r="D41">
        <v>-34.40352</v>
      </c>
      <c r="E41">
        <v>20.564520000000002</v>
      </c>
      <c r="F41" t="s">
        <v>40</v>
      </c>
      <c r="G41">
        <v>43</v>
      </c>
      <c r="H41" t="s">
        <v>10</v>
      </c>
      <c r="I41">
        <v>71.400000000000006</v>
      </c>
      <c r="J41" s="2">
        <f>81.65-11.05</f>
        <v>70.600000000000009</v>
      </c>
      <c r="M41" t="s">
        <v>51</v>
      </c>
      <c r="N41" s="1">
        <v>1.03</v>
      </c>
    </row>
    <row r="42" spans="1:14" x14ac:dyDescent="0.2">
      <c r="A42" t="s">
        <v>63</v>
      </c>
      <c r="B42" t="s">
        <v>48</v>
      </c>
      <c r="C42" t="s">
        <v>25</v>
      </c>
      <c r="D42">
        <v>-34.412452999999999</v>
      </c>
      <c r="E42">
        <v>20.579114000000001</v>
      </c>
      <c r="F42" t="s">
        <v>40</v>
      </c>
      <c r="G42">
        <v>0</v>
      </c>
      <c r="H42" t="s">
        <v>12</v>
      </c>
      <c r="I42">
        <v>4.0049999999999999</v>
      </c>
      <c r="J42" s="2">
        <v>1.764</v>
      </c>
      <c r="K42" t="s">
        <v>13</v>
      </c>
      <c r="L42" t="s">
        <v>24</v>
      </c>
      <c r="M42" t="s">
        <v>54</v>
      </c>
      <c r="N42" s="1">
        <v>2.35</v>
      </c>
    </row>
    <row r="43" spans="1:14" x14ac:dyDescent="0.2">
      <c r="A43" t="s">
        <v>63</v>
      </c>
      <c r="B43" t="s">
        <v>48</v>
      </c>
      <c r="C43" t="s">
        <v>25</v>
      </c>
      <c r="D43">
        <v>-34.412452999999999</v>
      </c>
      <c r="E43">
        <v>20.579114000000001</v>
      </c>
      <c r="F43" t="s">
        <v>40</v>
      </c>
      <c r="G43">
        <v>0</v>
      </c>
      <c r="H43" t="s">
        <v>16</v>
      </c>
      <c r="I43" s="2">
        <v>4.01</v>
      </c>
      <c r="J43" s="2">
        <v>2.137</v>
      </c>
      <c r="L43" t="s">
        <v>21</v>
      </c>
      <c r="M43" t="s">
        <v>54</v>
      </c>
      <c r="N43" s="1">
        <v>2.35</v>
      </c>
    </row>
    <row r="44" spans="1:14" x14ac:dyDescent="0.2">
      <c r="A44" t="s">
        <v>63</v>
      </c>
      <c r="B44" t="s">
        <v>48</v>
      </c>
      <c r="C44" t="s">
        <v>25</v>
      </c>
      <c r="D44">
        <v>-34.412452999999999</v>
      </c>
      <c r="E44">
        <v>20.579114000000001</v>
      </c>
      <c r="F44" t="s">
        <v>40</v>
      </c>
      <c r="G44">
        <v>0</v>
      </c>
      <c r="H44" t="s">
        <v>53</v>
      </c>
      <c r="I44">
        <v>4.0359999999999996</v>
      </c>
      <c r="J44" s="4">
        <v>1.7410000000000001</v>
      </c>
      <c r="K44" t="s">
        <v>11</v>
      </c>
      <c r="L44" t="s">
        <v>23</v>
      </c>
      <c r="M44" t="s">
        <v>54</v>
      </c>
      <c r="N44" s="1">
        <v>2.35</v>
      </c>
    </row>
    <row r="45" spans="1:14" x14ac:dyDescent="0.2">
      <c r="A45" t="s">
        <v>63</v>
      </c>
      <c r="B45" t="s">
        <v>48</v>
      </c>
      <c r="C45" t="s">
        <v>25</v>
      </c>
      <c r="D45">
        <v>-34.412452999999999</v>
      </c>
      <c r="E45">
        <v>20.579114000000001</v>
      </c>
      <c r="F45" t="s">
        <v>40</v>
      </c>
      <c r="G45">
        <v>0</v>
      </c>
      <c r="H45" t="s">
        <v>7</v>
      </c>
      <c r="I45">
        <v>4.0010000000000003</v>
      </c>
      <c r="J45" s="2">
        <v>2.048</v>
      </c>
      <c r="K45" t="s">
        <v>6</v>
      </c>
      <c r="L45" t="s">
        <v>22</v>
      </c>
      <c r="M45" t="s">
        <v>54</v>
      </c>
      <c r="N45" s="1">
        <v>2.35</v>
      </c>
    </row>
    <row r="46" spans="1:14" x14ac:dyDescent="0.2">
      <c r="A46" t="s">
        <v>63</v>
      </c>
      <c r="B46" t="s">
        <v>48</v>
      </c>
      <c r="C46" t="s">
        <v>25</v>
      </c>
      <c r="D46">
        <v>-34.412452999999999</v>
      </c>
      <c r="E46">
        <v>20.579114000000001</v>
      </c>
      <c r="F46" t="s">
        <v>40</v>
      </c>
      <c r="G46">
        <v>0</v>
      </c>
      <c r="H46" t="s">
        <v>10</v>
      </c>
      <c r="I46" s="1">
        <v>50.2</v>
      </c>
      <c r="J46" s="1">
        <f>56.3-11.05</f>
        <v>45.25</v>
      </c>
      <c r="M46" t="s">
        <v>54</v>
      </c>
      <c r="N46" s="1">
        <v>2.35</v>
      </c>
    </row>
    <row r="47" spans="1:14" x14ac:dyDescent="0.2">
      <c r="A47" t="s">
        <v>63</v>
      </c>
      <c r="B47" t="s">
        <v>48</v>
      </c>
      <c r="C47" t="s">
        <v>26</v>
      </c>
      <c r="D47">
        <v>-34.413179999999997</v>
      </c>
      <c r="E47">
        <v>20.57854</v>
      </c>
      <c r="F47" t="s">
        <v>40</v>
      </c>
      <c r="G47">
        <v>0</v>
      </c>
      <c r="H47" t="s">
        <v>46</v>
      </c>
      <c r="I47">
        <v>4.0259999999999998</v>
      </c>
      <c r="J47" s="2">
        <v>2.1720000000000002</v>
      </c>
      <c r="L47" t="s">
        <v>46</v>
      </c>
      <c r="M47" t="s">
        <v>52</v>
      </c>
      <c r="N47" s="1">
        <v>0.97</v>
      </c>
    </row>
    <row r="48" spans="1:14" x14ac:dyDescent="0.2">
      <c r="A48" t="s">
        <v>63</v>
      </c>
      <c r="B48" t="s">
        <v>48</v>
      </c>
      <c r="C48" t="s">
        <v>26</v>
      </c>
      <c r="D48">
        <v>-34.413179999999997</v>
      </c>
      <c r="E48">
        <v>20.57854</v>
      </c>
      <c r="F48" t="s">
        <v>40</v>
      </c>
      <c r="G48">
        <v>0</v>
      </c>
      <c r="H48" t="s">
        <v>44</v>
      </c>
      <c r="I48">
        <v>4.0019999999999998</v>
      </c>
      <c r="J48" s="2">
        <v>1.4830000000000001</v>
      </c>
      <c r="L48" t="s">
        <v>44</v>
      </c>
      <c r="M48" t="s">
        <v>52</v>
      </c>
      <c r="N48" s="1">
        <v>0.97</v>
      </c>
    </row>
    <row r="49" spans="1:14" x14ac:dyDescent="0.2">
      <c r="A49" t="s">
        <v>63</v>
      </c>
      <c r="B49" t="s">
        <v>48</v>
      </c>
      <c r="C49" t="s">
        <v>26</v>
      </c>
      <c r="D49">
        <v>-34.413179999999997</v>
      </c>
      <c r="E49">
        <v>20.57854</v>
      </c>
      <c r="F49" t="s">
        <v>40</v>
      </c>
      <c r="G49">
        <v>0</v>
      </c>
      <c r="H49" t="s">
        <v>9</v>
      </c>
      <c r="I49">
        <v>4.0010000000000003</v>
      </c>
      <c r="J49" s="2">
        <v>2.1110000000000002</v>
      </c>
      <c r="K49" t="s">
        <v>11</v>
      </c>
      <c r="L49" t="s">
        <v>23</v>
      </c>
      <c r="M49" t="s">
        <v>52</v>
      </c>
      <c r="N49" s="1">
        <v>0.97</v>
      </c>
    </row>
    <row r="50" spans="1:14" x14ac:dyDescent="0.2">
      <c r="A50" t="s">
        <v>63</v>
      </c>
      <c r="B50" t="s">
        <v>48</v>
      </c>
      <c r="C50" t="s">
        <v>26</v>
      </c>
      <c r="D50">
        <v>-34.413179999999997</v>
      </c>
      <c r="E50">
        <v>20.57854</v>
      </c>
      <c r="F50" t="s">
        <v>40</v>
      </c>
      <c r="G50">
        <v>0</v>
      </c>
      <c r="H50" t="s">
        <v>42</v>
      </c>
      <c r="I50">
        <v>4.0780000000000003</v>
      </c>
      <c r="J50" s="2">
        <v>1.9239999999999999</v>
      </c>
      <c r="L50" t="s">
        <v>55</v>
      </c>
      <c r="M50" t="s">
        <v>52</v>
      </c>
      <c r="N50" s="1">
        <v>0.97</v>
      </c>
    </row>
    <row r="51" spans="1:14" x14ac:dyDescent="0.2">
      <c r="A51" t="s">
        <v>63</v>
      </c>
      <c r="B51" t="s">
        <v>48</v>
      </c>
      <c r="C51" t="s">
        <v>26</v>
      </c>
      <c r="D51">
        <v>-34.413179999999997</v>
      </c>
      <c r="E51">
        <v>20.57854</v>
      </c>
      <c r="F51" t="s">
        <v>40</v>
      </c>
      <c r="G51">
        <v>0</v>
      </c>
      <c r="H51" t="s">
        <v>10</v>
      </c>
      <c r="I51">
        <v>65.849999999999994</v>
      </c>
      <c r="J51" s="2">
        <f>72.65-11.05</f>
        <v>61.600000000000009</v>
      </c>
      <c r="M51" t="s">
        <v>52</v>
      </c>
      <c r="N51" s="1">
        <v>0.97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Slingsby</dc:creator>
  <cp:lastModifiedBy>Jasper Slingsby</cp:lastModifiedBy>
  <dcterms:created xsi:type="dcterms:W3CDTF">2026-01-25T08:39:37Z</dcterms:created>
  <dcterms:modified xsi:type="dcterms:W3CDTF">2026-02-22T16:51:51Z</dcterms:modified>
</cp:coreProperties>
</file>